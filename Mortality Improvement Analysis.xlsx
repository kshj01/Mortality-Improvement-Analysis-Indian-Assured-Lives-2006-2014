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rshil Soni\OneDrive\Desktop\Projects\Mortality Improvement Analysis\"/>
    </mc:Choice>
  </mc:AlternateContent>
  <bookViews>
    <workbookView xWindow="0" yWindow="0" windowWidth="23040" windowHeight="9072"/>
  </bookViews>
  <sheets>
    <sheet name="IALM Comparison" sheetId="1" r:id="rId1"/>
    <sheet name="Calculations" sheetId="2" r:id="rId2"/>
    <sheet name="Pricing Term Assurance" sheetId="3" r:id="rId3"/>
    <sheet name="Premium Comparison" sheetId="4" r:id="rId4"/>
    <sheet name="Stress Test on IALM 2012-14" sheetId="6" r:id="rId5"/>
  </sheets>
  <definedNames>
    <definedName name="a_ann_06">'Pricing Term Assurance'!$C$7</definedName>
    <definedName name="a_ann_12">'Pricing Term Assurance'!$C$18</definedName>
    <definedName name="a_asure_06">'Pricing Term Assurance'!$C$8</definedName>
    <definedName name="a_asure_12">'Pricing Term Assurance'!$C$19</definedName>
    <definedName name="b_ann_06">'Pricing Term Assurance'!$F$7</definedName>
    <definedName name="b_ann_12">'Pricing Term Assurance'!$F$18</definedName>
    <definedName name="b_asure_06">'Pricing Term Assurance'!$F$8</definedName>
    <definedName name="b_asure_12">'Pricing Term Assurance'!$F$19</definedName>
    <definedName name="c_ann_06">'Pricing Term Assurance'!$I$7</definedName>
    <definedName name="c_ann_12">'Pricing Term Assurance'!$I$18</definedName>
    <definedName name="c_asure_06">'Pricing Term Assurance'!$I$8</definedName>
    <definedName name="c_asure_12">'Pricing Term Assurance'!$I$19</definedName>
    <definedName name="d_ann_06">'Pricing Term Assurance'!$L$7</definedName>
    <definedName name="d_ann_12">'Pricing Term Assurance'!$L$18</definedName>
    <definedName name="d_asure_06">'Pricing Term Assurance'!$L$8</definedName>
    <definedName name="d_asure_12">'Pricing Term Assurance'!$L$19</definedName>
    <definedName name="e_ann_06">'Pricing Term Assurance'!$O$7</definedName>
    <definedName name="e_ann_12">'Pricing Term Assurance'!$O$18</definedName>
    <definedName name="e_asure_06">'Pricing Term Assurance'!$O$8</definedName>
    <definedName name="e_asure_12">'Pricing Term Assurance'!$O$19</definedName>
    <definedName name="i">Calculations!$C$11</definedName>
    <definedName name="in_com">Calculations!$C$19</definedName>
    <definedName name="in_exp">Calculations!$C$14</definedName>
    <definedName name="re_com">Calculations!$C$21</definedName>
    <definedName name="re_exp">Calculations!$C$17</definedName>
    <definedName name="sum_assured">Calculations!$C$9</definedName>
    <definedName name="v">Calculations!$C$12</definedName>
  </definedNames>
  <calcPr calcId="162913"/>
  <pivotCaches>
    <pivotCache cacheId="0" r:id="rId6"/>
  </pivotCaches>
</workbook>
</file>

<file path=xl/calcChain.xml><?xml version="1.0" encoding="utf-8"?>
<calcChain xmlns="http://schemas.openxmlformats.org/spreadsheetml/2006/main">
  <c r="B10" i="6" l="1"/>
  <c r="B11" i="6"/>
  <c r="B12" i="6"/>
  <c r="B13" i="6"/>
  <c r="B9" i="6"/>
  <c r="U3" i="6" l="1"/>
  <c r="V7" i="6" s="1"/>
  <c r="W7" i="6" l="1"/>
  <c r="W6" i="6"/>
  <c r="W8" i="6"/>
  <c r="W9" i="6"/>
  <c r="W10" i="6"/>
  <c r="W11" i="6"/>
  <c r="W12" i="6"/>
  <c r="W13" i="6"/>
  <c r="W14" i="6"/>
  <c r="V9" i="6"/>
  <c r="V14" i="6"/>
  <c r="V8" i="6"/>
  <c r="V10" i="6"/>
  <c r="V11" i="6"/>
  <c r="V12" i="6"/>
  <c r="V13" i="6"/>
  <c r="V6" i="6"/>
  <c r="C5" i="6"/>
  <c r="N16" i="6" s="1"/>
  <c r="C13" i="6"/>
  <c r="C12" i="6"/>
  <c r="C11" i="6"/>
  <c r="C10" i="6"/>
  <c r="C9" i="6"/>
  <c r="G9" i="6"/>
  <c r="H9" i="6" l="1"/>
  <c r="J9" i="6" s="1"/>
  <c r="I10" i="6" s="1"/>
  <c r="G10" i="6"/>
  <c r="N15" i="6"/>
  <c r="N14" i="6"/>
  <c r="N10" i="6"/>
  <c r="N12" i="6"/>
  <c r="N13" i="6"/>
  <c r="N9" i="6"/>
  <c r="P9" i="6" s="1"/>
  <c r="N11" i="6"/>
  <c r="N18" i="6"/>
  <c r="N17" i="6"/>
  <c r="H10" i="6"/>
  <c r="K10" i="6" s="1"/>
  <c r="J8" i="4"/>
  <c r="J7" i="4"/>
  <c r="J6" i="4"/>
  <c r="J5" i="4"/>
  <c r="I8" i="4"/>
  <c r="I7" i="4"/>
  <c r="I6" i="4"/>
  <c r="I5" i="4"/>
  <c r="I4" i="4"/>
  <c r="K9" i="6" l="1"/>
  <c r="O10" i="6" s="1"/>
  <c r="J10" i="6"/>
  <c r="I11" i="6" s="1"/>
  <c r="G11" i="6"/>
  <c r="H11" i="6" s="1"/>
  <c r="K11" i="6" s="1"/>
  <c r="J4" i="4"/>
  <c r="H8" i="4"/>
  <c r="H7" i="4"/>
  <c r="H6" i="4"/>
  <c r="H5" i="4"/>
  <c r="H4" i="4"/>
  <c r="C7" i="3"/>
  <c r="D8" i="4"/>
  <c r="J11" i="6" l="1"/>
  <c r="I12" i="6" s="1"/>
  <c r="G12" i="6"/>
  <c r="H12" i="6" s="1"/>
  <c r="K12" i="6" s="1"/>
  <c r="Q63" i="2"/>
  <c r="J12" i="6" l="1"/>
  <c r="I13" i="6" s="1"/>
  <c r="G13" i="6"/>
  <c r="H13" i="6" s="1"/>
  <c r="K13" i="6" s="1"/>
  <c r="E8" i="4"/>
  <c r="E7" i="4"/>
  <c r="E6" i="4"/>
  <c r="E5" i="4"/>
  <c r="F5" i="4" s="1"/>
  <c r="K5" i="4" s="1"/>
  <c r="E4" i="4"/>
  <c r="D7" i="4"/>
  <c r="D6" i="4"/>
  <c r="D5" i="4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5" i="1"/>
  <c r="AI118" i="1"/>
  <c r="AJ118" i="1"/>
  <c r="J13" i="6" l="1"/>
  <c r="I14" i="6" s="1"/>
  <c r="G14" i="6"/>
  <c r="H14" i="6" s="1"/>
  <c r="K14" i="6" s="1"/>
  <c r="F6" i="4"/>
  <c r="K6" i="4" s="1"/>
  <c r="F7" i="4"/>
  <c r="K7" i="4" s="1"/>
  <c r="G8" i="4"/>
  <c r="F8" i="4"/>
  <c r="K8" i="4" s="1"/>
  <c r="G6" i="4"/>
  <c r="G7" i="4"/>
  <c r="G5" i="4"/>
  <c r="I156" i="2"/>
  <c r="I142" i="2"/>
  <c r="I157" i="2"/>
  <c r="J110" i="2"/>
  <c r="I124" i="2"/>
  <c r="I110" i="2"/>
  <c r="M124" i="2"/>
  <c r="Q125" i="2" s="1"/>
  <c r="I92" i="2"/>
  <c r="K92" i="2" s="1"/>
  <c r="I78" i="2"/>
  <c r="L78" i="2" s="1"/>
  <c r="I60" i="2"/>
  <c r="K60" i="2" s="1"/>
  <c r="I46" i="2"/>
  <c r="J46" i="2" s="1"/>
  <c r="I28" i="2"/>
  <c r="I14" i="2"/>
  <c r="L92" i="2"/>
  <c r="I79" i="2"/>
  <c r="L79" i="2" s="1"/>
  <c r="M78" i="2"/>
  <c r="Q79" i="2" s="1"/>
  <c r="M60" i="2"/>
  <c r="Q61" i="2" s="1"/>
  <c r="L60" i="2"/>
  <c r="J14" i="6" l="1"/>
  <c r="I15" i="6" s="1"/>
  <c r="G15" i="6"/>
  <c r="H15" i="6" s="1"/>
  <c r="K15" i="6" s="1"/>
  <c r="J92" i="2"/>
  <c r="M92" i="2"/>
  <c r="Q93" i="2" s="1"/>
  <c r="I93" i="2"/>
  <c r="L93" i="2" s="1"/>
  <c r="M142" i="2"/>
  <c r="Q143" i="2" s="1"/>
  <c r="L142" i="2"/>
  <c r="J142" i="2"/>
  <c r="K142" i="2"/>
  <c r="I143" i="2"/>
  <c r="M157" i="2"/>
  <c r="L157" i="2"/>
  <c r="J157" i="2"/>
  <c r="K157" i="2"/>
  <c r="I158" i="2"/>
  <c r="J156" i="2"/>
  <c r="K156" i="2"/>
  <c r="L156" i="2"/>
  <c r="M156" i="2"/>
  <c r="Q157" i="2" s="1"/>
  <c r="K124" i="2"/>
  <c r="I111" i="2"/>
  <c r="I125" i="2"/>
  <c r="K110" i="2"/>
  <c r="L110" i="2"/>
  <c r="L124" i="2"/>
  <c r="M110" i="2"/>
  <c r="Q111" i="2" s="1"/>
  <c r="J124" i="2"/>
  <c r="L46" i="2"/>
  <c r="K46" i="2"/>
  <c r="I61" i="2"/>
  <c r="M61" i="2" s="1"/>
  <c r="Q62" i="2" s="1"/>
  <c r="M46" i="2"/>
  <c r="Q47" i="2" s="1"/>
  <c r="I47" i="2"/>
  <c r="I48" i="2" s="1"/>
  <c r="I49" i="2" s="1"/>
  <c r="J49" i="2" s="1"/>
  <c r="J60" i="2"/>
  <c r="J78" i="2"/>
  <c r="K78" i="2"/>
  <c r="I94" i="2"/>
  <c r="M79" i="2"/>
  <c r="Q80" i="2" s="1"/>
  <c r="J79" i="2"/>
  <c r="I80" i="2"/>
  <c r="K79" i="2"/>
  <c r="I62" i="2"/>
  <c r="I63" i="2" s="1"/>
  <c r="L63" i="2" s="1"/>
  <c r="L48" i="2"/>
  <c r="K48" i="2"/>
  <c r="J48" i="2"/>
  <c r="J61" i="2"/>
  <c r="L61" i="2"/>
  <c r="J15" i="6" l="1"/>
  <c r="I16" i="6" s="1"/>
  <c r="G16" i="6"/>
  <c r="H16" i="6" s="1"/>
  <c r="K16" i="6" s="1"/>
  <c r="K62" i="2"/>
  <c r="K93" i="2"/>
  <c r="I50" i="2"/>
  <c r="L50" i="2" s="1"/>
  <c r="J93" i="2"/>
  <c r="J47" i="2"/>
  <c r="K49" i="2"/>
  <c r="K61" i="2"/>
  <c r="M63" i="2"/>
  <c r="M93" i="2"/>
  <c r="Q94" i="2" s="1"/>
  <c r="Q158" i="2"/>
  <c r="M143" i="2"/>
  <c r="L143" i="2"/>
  <c r="K143" i="2"/>
  <c r="I144" i="2"/>
  <c r="J143" i="2"/>
  <c r="I159" i="2"/>
  <c r="J158" i="2"/>
  <c r="M158" i="2"/>
  <c r="L158" i="2"/>
  <c r="K158" i="2"/>
  <c r="Q144" i="2"/>
  <c r="L125" i="2"/>
  <c r="K125" i="2"/>
  <c r="I126" i="2"/>
  <c r="M125" i="2"/>
  <c r="Q126" i="2" s="1"/>
  <c r="J125" i="2"/>
  <c r="L111" i="2"/>
  <c r="K111" i="2"/>
  <c r="I112" i="2"/>
  <c r="M111" i="2"/>
  <c r="Q112" i="2" s="1"/>
  <c r="J111" i="2"/>
  <c r="I64" i="2"/>
  <c r="K64" i="2" s="1"/>
  <c r="L49" i="2"/>
  <c r="M49" i="2"/>
  <c r="M48" i="2"/>
  <c r="M47" i="2"/>
  <c r="Q48" i="2" s="1"/>
  <c r="L47" i="2"/>
  <c r="K47" i="2"/>
  <c r="L62" i="2"/>
  <c r="J63" i="2"/>
  <c r="K63" i="2"/>
  <c r="M62" i="2"/>
  <c r="J62" i="2"/>
  <c r="K94" i="2"/>
  <c r="I95" i="2"/>
  <c r="M94" i="2"/>
  <c r="L94" i="2"/>
  <c r="J94" i="2"/>
  <c r="L80" i="2"/>
  <c r="K80" i="2"/>
  <c r="M80" i="2"/>
  <c r="Q81" i="2" s="1"/>
  <c r="I81" i="2"/>
  <c r="J80" i="2"/>
  <c r="Q49" i="2"/>
  <c r="L64" i="2"/>
  <c r="M50" i="2"/>
  <c r="J16" i="6" l="1"/>
  <c r="I17" i="6" s="1"/>
  <c r="G17" i="6"/>
  <c r="H17" i="6" s="1"/>
  <c r="K17" i="6" s="1"/>
  <c r="Q95" i="2"/>
  <c r="J50" i="2"/>
  <c r="M64" i="2"/>
  <c r="I51" i="2"/>
  <c r="J51" i="2" s="1"/>
  <c r="K50" i="2"/>
  <c r="J64" i="2"/>
  <c r="I65" i="2"/>
  <c r="L65" i="2" s="1"/>
  <c r="L159" i="2"/>
  <c r="K159" i="2"/>
  <c r="J159" i="2"/>
  <c r="M159" i="2"/>
  <c r="I160" i="2"/>
  <c r="L144" i="2"/>
  <c r="J144" i="2"/>
  <c r="M144" i="2"/>
  <c r="Q145" i="2" s="1"/>
  <c r="K144" i="2"/>
  <c r="I145" i="2"/>
  <c r="Q159" i="2"/>
  <c r="L126" i="2"/>
  <c r="I127" i="2"/>
  <c r="M126" i="2"/>
  <c r="Q127" i="2" s="1"/>
  <c r="J126" i="2"/>
  <c r="K126" i="2"/>
  <c r="M112" i="2"/>
  <c r="Q113" i="2" s="1"/>
  <c r="L112" i="2"/>
  <c r="K112" i="2"/>
  <c r="I113" i="2"/>
  <c r="J112" i="2"/>
  <c r="L95" i="2"/>
  <c r="M95" i="2"/>
  <c r="K95" i="2"/>
  <c r="I96" i="2"/>
  <c r="J95" i="2"/>
  <c r="M81" i="2"/>
  <c r="Q82" i="2" s="1"/>
  <c r="I82" i="2"/>
  <c r="L81" i="2"/>
  <c r="K81" i="2"/>
  <c r="J81" i="2"/>
  <c r="M65" i="2"/>
  <c r="K51" i="2"/>
  <c r="I52" i="2"/>
  <c r="L51" i="2"/>
  <c r="Q64" i="2"/>
  <c r="Q50" i="2"/>
  <c r="J17" i="6" l="1"/>
  <c r="I18" i="6" s="1"/>
  <c r="G18" i="6"/>
  <c r="H18" i="6" s="1"/>
  <c r="K18" i="6" s="1"/>
  <c r="Q96" i="2"/>
  <c r="J65" i="2"/>
  <c r="I66" i="2"/>
  <c r="K66" i="2" s="1"/>
  <c r="K65" i="2"/>
  <c r="M51" i="2"/>
  <c r="Q160" i="2"/>
  <c r="M160" i="2"/>
  <c r="I161" i="2"/>
  <c r="L160" i="2"/>
  <c r="K160" i="2"/>
  <c r="J160" i="2"/>
  <c r="L145" i="2"/>
  <c r="J145" i="2"/>
  <c r="M145" i="2"/>
  <c r="Q146" i="2" s="1"/>
  <c r="K145" i="2"/>
  <c r="I146" i="2"/>
  <c r="L127" i="2"/>
  <c r="I128" i="2"/>
  <c r="M127" i="2"/>
  <c r="Q128" i="2" s="1"/>
  <c r="K127" i="2"/>
  <c r="J127" i="2"/>
  <c r="K113" i="2"/>
  <c r="J113" i="2"/>
  <c r="M113" i="2"/>
  <c r="Q114" i="2" s="1"/>
  <c r="L113" i="2"/>
  <c r="I114" i="2"/>
  <c r="M96" i="2"/>
  <c r="Q97" i="2" s="1"/>
  <c r="L96" i="2"/>
  <c r="K96" i="2"/>
  <c r="I97" i="2"/>
  <c r="J96" i="2"/>
  <c r="L82" i="2"/>
  <c r="J82" i="2"/>
  <c r="M82" i="2"/>
  <c r="Q83" i="2" s="1"/>
  <c r="K82" i="2"/>
  <c r="I83" i="2"/>
  <c r="J66" i="2"/>
  <c r="M66" i="2"/>
  <c r="L66" i="2"/>
  <c r="I53" i="2"/>
  <c r="J52" i="2"/>
  <c r="K52" i="2"/>
  <c r="M52" i="2"/>
  <c r="L52" i="2"/>
  <c r="Q51" i="2"/>
  <c r="Q65" i="2"/>
  <c r="J18" i="6" l="1"/>
  <c r="G19" i="6"/>
  <c r="H19" i="6" s="1"/>
  <c r="K19" i="6" s="1"/>
  <c r="I67" i="2"/>
  <c r="M146" i="2"/>
  <c r="Q147" i="2" s="1"/>
  <c r="J146" i="2"/>
  <c r="L146" i="2"/>
  <c r="K146" i="2"/>
  <c r="I147" i="2"/>
  <c r="L161" i="2"/>
  <c r="J161" i="2"/>
  <c r="M161" i="2"/>
  <c r="K161" i="2"/>
  <c r="I162" i="2"/>
  <c r="Q161" i="2"/>
  <c r="Q115" i="2"/>
  <c r="M128" i="2"/>
  <c r="Q129" i="2" s="1"/>
  <c r="J128" i="2"/>
  <c r="L128" i="2"/>
  <c r="K128" i="2"/>
  <c r="I129" i="2"/>
  <c r="M114" i="2"/>
  <c r="K114" i="2"/>
  <c r="I115" i="2"/>
  <c r="L114" i="2"/>
  <c r="J114" i="2"/>
  <c r="K83" i="2"/>
  <c r="M83" i="2"/>
  <c r="Q84" i="2" s="1"/>
  <c r="I84" i="2"/>
  <c r="J83" i="2"/>
  <c r="L83" i="2"/>
  <c r="L97" i="2"/>
  <c r="J97" i="2"/>
  <c r="M97" i="2"/>
  <c r="Q98" i="2" s="1"/>
  <c r="K97" i="2"/>
  <c r="I98" i="2"/>
  <c r="M53" i="2"/>
  <c r="L53" i="2"/>
  <c r="K53" i="2"/>
  <c r="J53" i="2"/>
  <c r="I54" i="2"/>
  <c r="Q66" i="2"/>
  <c r="Q52" i="2"/>
  <c r="I68" i="2"/>
  <c r="J67" i="2"/>
  <c r="M67" i="2"/>
  <c r="L67" i="2"/>
  <c r="K67" i="2"/>
  <c r="I19" i="6" l="1"/>
  <c r="J19" i="6" s="1"/>
  <c r="Q18" i="6"/>
  <c r="Q17" i="6" s="1"/>
  <c r="Q16" i="6" s="1"/>
  <c r="Q15" i="6" s="1"/>
  <c r="Q14" i="6" s="1"/>
  <c r="Q13" i="6" s="1"/>
  <c r="Q12" i="6" s="1"/>
  <c r="Q11" i="6" s="1"/>
  <c r="Q10" i="6" s="1"/>
  <c r="Q9" i="6" s="1"/>
  <c r="L147" i="2"/>
  <c r="I148" i="2"/>
  <c r="J147" i="2"/>
  <c r="K147" i="2"/>
  <c r="M147" i="2"/>
  <c r="Q148" i="2" s="1"/>
  <c r="Q162" i="2"/>
  <c r="K162" i="2"/>
  <c r="L162" i="2"/>
  <c r="I163" i="2"/>
  <c r="J162" i="2"/>
  <c r="M162" i="2"/>
  <c r="L115" i="2"/>
  <c r="I116" i="2"/>
  <c r="K115" i="2"/>
  <c r="J115" i="2"/>
  <c r="M115" i="2"/>
  <c r="Q116" i="2"/>
  <c r="L129" i="2"/>
  <c r="J129" i="2"/>
  <c r="M129" i="2"/>
  <c r="Q130" i="2" s="1"/>
  <c r="K129" i="2"/>
  <c r="I130" i="2"/>
  <c r="I85" i="2"/>
  <c r="J84" i="2"/>
  <c r="M84" i="2"/>
  <c r="Q85" i="2" s="1"/>
  <c r="L84" i="2"/>
  <c r="K84" i="2"/>
  <c r="K98" i="2"/>
  <c r="I99" i="2"/>
  <c r="J98" i="2"/>
  <c r="M98" i="2"/>
  <c r="Q99" i="2" s="1"/>
  <c r="L98" i="2"/>
  <c r="Q53" i="2"/>
  <c r="Q67" i="2"/>
  <c r="M54" i="2"/>
  <c r="I55" i="2"/>
  <c r="L54" i="2"/>
  <c r="K54" i="2"/>
  <c r="J54" i="2"/>
  <c r="M68" i="2"/>
  <c r="L68" i="2"/>
  <c r="K68" i="2"/>
  <c r="J68" i="2"/>
  <c r="I69" i="2"/>
  <c r="Q163" i="2" l="1"/>
  <c r="I164" i="2"/>
  <c r="J163" i="2"/>
  <c r="M163" i="2"/>
  <c r="L163" i="2"/>
  <c r="K163" i="2"/>
  <c r="K148" i="2"/>
  <c r="I149" i="2"/>
  <c r="J148" i="2"/>
  <c r="M148" i="2"/>
  <c r="Q149" i="2" s="1"/>
  <c r="L148" i="2"/>
  <c r="K130" i="2"/>
  <c r="M130" i="2"/>
  <c r="Q131" i="2" s="1"/>
  <c r="I131" i="2"/>
  <c r="J130" i="2"/>
  <c r="L130" i="2"/>
  <c r="K116" i="2"/>
  <c r="M116" i="2"/>
  <c r="Q117" i="2" s="1"/>
  <c r="I117" i="2"/>
  <c r="J116" i="2"/>
  <c r="L116" i="2"/>
  <c r="M85" i="2"/>
  <c r="Q86" i="2" s="1"/>
  <c r="L85" i="2"/>
  <c r="K85" i="2"/>
  <c r="I86" i="2"/>
  <c r="J85" i="2"/>
  <c r="I100" i="2"/>
  <c r="J99" i="2"/>
  <c r="L99" i="2"/>
  <c r="K99" i="2"/>
  <c r="M99" i="2"/>
  <c r="Q100" i="2" s="1"/>
  <c r="M69" i="2"/>
  <c r="L69" i="2"/>
  <c r="I70" i="2"/>
  <c r="K69" i="2"/>
  <c r="J69" i="2"/>
  <c r="M55" i="2"/>
  <c r="L55" i="2"/>
  <c r="J55" i="2"/>
  <c r="I56" i="2"/>
  <c r="K55" i="2"/>
  <c r="Q68" i="2"/>
  <c r="Q54" i="2"/>
  <c r="I165" i="2" l="1"/>
  <c r="J164" i="2"/>
  <c r="M164" i="2"/>
  <c r="L164" i="2"/>
  <c r="K164" i="2"/>
  <c r="Q164" i="2"/>
  <c r="I150" i="2"/>
  <c r="J149" i="2"/>
  <c r="M149" i="2"/>
  <c r="Q150" i="2" s="1"/>
  <c r="L149" i="2"/>
  <c r="K149" i="2"/>
  <c r="I132" i="2"/>
  <c r="J131" i="2"/>
  <c r="K131" i="2"/>
  <c r="L131" i="2"/>
  <c r="M131" i="2"/>
  <c r="Q132" i="2" s="1"/>
  <c r="I118" i="2"/>
  <c r="J117" i="2"/>
  <c r="M117" i="2"/>
  <c r="Q118" i="2" s="1"/>
  <c r="L117" i="2"/>
  <c r="K117" i="2"/>
  <c r="L86" i="2"/>
  <c r="K86" i="2"/>
  <c r="I87" i="2"/>
  <c r="J86" i="2"/>
  <c r="M86" i="2"/>
  <c r="Q87" i="2" s="1"/>
  <c r="M100" i="2"/>
  <c r="Q101" i="2" s="1"/>
  <c r="L100" i="2"/>
  <c r="J100" i="2"/>
  <c r="K100" i="2"/>
  <c r="I101" i="2"/>
  <c r="Q55" i="2"/>
  <c r="Q69" i="2"/>
  <c r="M70" i="2"/>
  <c r="L70" i="2"/>
  <c r="K70" i="2"/>
  <c r="J70" i="2"/>
  <c r="M56" i="2"/>
  <c r="L56" i="2"/>
  <c r="K56" i="2"/>
  <c r="J56" i="2"/>
  <c r="L165" i="2" l="1"/>
  <c r="K165" i="2"/>
  <c r="I166" i="2"/>
  <c r="M165" i="2"/>
  <c r="J165" i="2"/>
  <c r="M150" i="2"/>
  <c r="Q151" i="2" s="1"/>
  <c r="L150" i="2"/>
  <c r="K150" i="2"/>
  <c r="I151" i="2"/>
  <c r="J150" i="2"/>
  <c r="Q165" i="2"/>
  <c r="K132" i="2"/>
  <c r="J132" i="2"/>
  <c r="M132" i="2"/>
  <c r="Q133" i="2" s="1"/>
  <c r="L132" i="2"/>
  <c r="I133" i="2"/>
  <c r="M118" i="2"/>
  <c r="Q119" i="2" s="1"/>
  <c r="L118" i="2"/>
  <c r="K118" i="2"/>
  <c r="J118" i="2"/>
  <c r="I119" i="2"/>
  <c r="L87" i="2"/>
  <c r="K87" i="2"/>
  <c r="I88" i="2"/>
  <c r="J87" i="2"/>
  <c r="M87" i="2"/>
  <c r="Q88" i="2" s="1"/>
  <c r="R88" i="2" s="1"/>
  <c r="K101" i="2"/>
  <c r="M101" i="2"/>
  <c r="Q102" i="2" s="1"/>
  <c r="R102" i="2" s="1"/>
  <c r="L101" i="2"/>
  <c r="I102" i="2"/>
  <c r="J101" i="2"/>
  <c r="Q70" i="2"/>
  <c r="R70" i="2" s="1"/>
  <c r="Q56" i="2"/>
  <c r="R56" i="2" s="1"/>
  <c r="Q166" i="2" l="1"/>
  <c r="R166" i="2" s="1"/>
  <c r="L166" i="2"/>
  <c r="M166" i="2"/>
  <c r="K166" i="2"/>
  <c r="J166" i="2"/>
  <c r="I152" i="2"/>
  <c r="M151" i="2"/>
  <c r="Q152" i="2" s="1"/>
  <c r="R152" i="2" s="1"/>
  <c r="L151" i="2"/>
  <c r="K151" i="2"/>
  <c r="J151" i="2"/>
  <c r="M119" i="2"/>
  <c r="Q120" i="2" s="1"/>
  <c r="R120" i="2" s="1"/>
  <c r="J119" i="2"/>
  <c r="L119" i="2"/>
  <c r="K119" i="2"/>
  <c r="I120" i="2"/>
  <c r="K133" i="2"/>
  <c r="I134" i="2"/>
  <c r="M133" i="2"/>
  <c r="Q134" i="2" s="1"/>
  <c r="R134" i="2" s="1"/>
  <c r="L133" i="2"/>
  <c r="J133" i="2"/>
  <c r="L88" i="2"/>
  <c r="J88" i="2"/>
  <c r="M88" i="2"/>
  <c r="K88" i="2"/>
  <c r="J102" i="2"/>
  <c r="M102" i="2"/>
  <c r="L102" i="2"/>
  <c r="K102" i="2"/>
  <c r="M152" i="2" l="1"/>
  <c r="L152" i="2"/>
  <c r="K152" i="2"/>
  <c r="J152" i="2"/>
  <c r="M120" i="2"/>
  <c r="K120" i="2"/>
  <c r="J120" i="2"/>
  <c r="L120" i="2"/>
  <c r="M134" i="2"/>
  <c r="L134" i="2"/>
  <c r="K134" i="2"/>
  <c r="J134" i="2"/>
  <c r="M28" i="2" l="1"/>
  <c r="Q29" i="2" s="1"/>
  <c r="L28" i="2"/>
  <c r="K28" i="2"/>
  <c r="J28" i="2"/>
  <c r="I29" i="2"/>
  <c r="K29" i="2" s="1"/>
  <c r="M29" i="2" l="1"/>
  <c r="Q30" i="2" s="1"/>
  <c r="I30" i="2"/>
  <c r="L29" i="2"/>
  <c r="J29" i="2"/>
  <c r="L30" i="2"/>
  <c r="K30" i="2"/>
  <c r="I31" i="2"/>
  <c r="I32" i="2" s="1"/>
  <c r="C12" i="2"/>
  <c r="M14" i="2"/>
  <c r="Q15" i="2" s="1"/>
  <c r="L14" i="2"/>
  <c r="K14" i="2"/>
  <c r="J14" i="2"/>
  <c r="I15" i="2"/>
  <c r="K15" i="2" s="1"/>
  <c r="I16" i="2" l="1"/>
  <c r="I17" i="2" s="1"/>
  <c r="I18" i="2" s="1"/>
  <c r="I19" i="2" s="1"/>
  <c r="I20" i="2" s="1"/>
  <c r="I21" i="2" s="1"/>
  <c r="I22" i="2" s="1"/>
  <c r="I23" i="2" s="1"/>
  <c r="I24" i="2" s="1"/>
  <c r="L24" i="2" s="1"/>
  <c r="P159" i="2"/>
  <c r="R159" i="2" s="1"/>
  <c r="P148" i="2"/>
  <c r="R148" i="2" s="1"/>
  <c r="P127" i="2"/>
  <c r="R127" i="2" s="1"/>
  <c r="P116" i="2"/>
  <c r="R116" i="2" s="1"/>
  <c r="P157" i="2"/>
  <c r="R157" i="2" s="1"/>
  <c r="P146" i="2"/>
  <c r="R146" i="2" s="1"/>
  <c r="P125" i="2"/>
  <c r="R125" i="2" s="1"/>
  <c r="P156" i="2"/>
  <c r="R156" i="2" s="1"/>
  <c r="P145" i="2"/>
  <c r="R145" i="2" s="1"/>
  <c r="P124" i="2"/>
  <c r="R124" i="2" s="1"/>
  <c r="P163" i="2"/>
  <c r="R163" i="2" s="1"/>
  <c r="P144" i="2"/>
  <c r="R144" i="2" s="1"/>
  <c r="P131" i="2"/>
  <c r="R131" i="2" s="1"/>
  <c r="P143" i="2"/>
  <c r="R143" i="2" s="1"/>
  <c r="P130" i="2"/>
  <c r="R130" i="2" s="1"/>
  <c r="P111" i="2"/>
  <c r="R111" i="2" s="1"/>
  <c r="P161" i="2"/>
  <c r="R161" i="2" s="1"/>
  <c r="P142" i="2"/>
  <c r="R142" i="2" s="1"/>
  <c r="P118" i="2"/>
  <c r="R118" i="2" s="1"/>
  <c r="P158" i="2"/>
  <c r="R158" i="2" s="1"/>
  <c r="P147" i="2"/>
  <c r="R147" i="2" s="1"/>
  <c r="P126" i="2"/>
  <c r="R126" i="2" s="1"/>
  <c r="P115" i="2"/>
  <c r="R115" i="2" s="1"/>
  <c r="P165" i="2"/>
  <c r="R165" i="2" s="1"/>
  <c r="P133" i="2"/>
  <c r="R133" i="2" s="1"/>
  <c r="P114" i="2"/>
  <c r="R114" i="2" s="1"/>
  <c r="P164" i="2"/>
  <c r="R164" i="2" s="1"/>
  <c r="P132" i="2"/>
  <c r="R132" i="2" s="1"/>
  <c r="P113" i="2"/>
  <c r="R113" i="2" s="1"/>
  <c r="P112" i="2"/>
  <c r="R112" i="2" s="1"/>
  <c r="P162" i="2"/>
  <c r="R162" i="2" s="1"/>
  <c r="P151" i="2"/>
  <c r="R151" i="2" s="1"/>
  <c r="P119" i="2"/>
  <c r="R119" i="2" s="1"/>
  <c r="P150" i="2"/>
  <c r="R150" i="2" s="1"/>
  <c r="P129" i="2"/>
  <c r="R129" i="2" s="1"/>
  <c r="P110" i="2"/>
  <c r="R110" i="2" s="1"/>
  <c r="P160" i="2"/>
  <c r="R160" i="2" s="1"/>
  <c r="P149" i="2"/>
  <c r="R149" i="2" s="1"/>
  <c r="P128" i="2"/>
  <c r="R128" i="2" s="1"/>
  <c r="P117" i="2"/>
  <c r="R117" i="2" s="1"/>
  <c r="S165" i="2"/>
  <c r="S164" i="2" s="1"/>
  <c r="S163" i="2" s="1"/>
  <c r="S162" i="2" s="1"/>
  <c r="S161" i="2" s="1"/>
  <c r="S160" i="2" s="1"/>
  <c r="S159" i="2" s="1"/>
  <c r="S158" i="2" s="1"/>
  <c r="S157" i="2" s="1"/>
  <c r="S156" i="2" s="1"/>
  <c r="O19" i="3" s="1"/>
  <c r="O21" i="3" s="1"/>
  <c r="S133" i="2"/>
  <c r="S132" i="2" s="1"/>
  <c r="S131" i="2" s="1"/>
  <c r="S130" i="2" s="1"/>
  <c r="S129" i="2" s="1"/>
  <c r="S128" i="2" s="1"/>
  <c r="S127" i="2" s="1"/>
  <c r="S126" i="2" s="1"/>
  <c r="S125" i="2" s="1"/>
  <c r="S124" i="2" s="1"/>
  <c r="L19" i="3" s="1"/>
  <c r="L21" i="3" s="1"/>
  <c r="S151" i="2"/>
  <c r="S150" i="2" s="1"/>
  <c r="S149" i="2" s="1"/>
  <c r="S148" i="2" s="1"/>
  <c r="S147" i="2" s="1"/>
  <c r="S146" i="2" s="1"/>
  <c r="S145" i="2" s="1"/>
  <c r="S144" i="2" s="1"/>
  <c r="S143" i="2" s="1"/>
  <c r="S142" i="2" s="1"/>
  <c r="O8" i="3" s="1"/>
  <c r="O10" i="3" s="1"/>
  <c r="S119" i="2"/>
  <c r="S118" i="2" s="1"/>
  <c r="S117" i="2" s="1"/>
  <c r="S116" i="2" s="1"/>
  <c r="S115" i="2" s="1"/>
  <c r="S114" i="2" s="1"/>
  <c r="S113" i="2" s="1"/>
  <c r="S112" i="2" s="1"/>
  <c r="S111" i="2" s="1"/>
  <c r="S110" i="2" s="1"/>
  <c r="L8" i="3" s="1"/>
  <c r="L10" i="3" s="1"/>
  <c r="L15" i="2"/>
  <c r="M30" i="2"/>
  <c r="Q31" i="2" s="1"/>
  <c r="J30" i="2"/>
  <c r="P23" i="2"/>
  <c r="P99" i="2"/>
  <c r="R99" i="2" s="1"/>
  <c r="P92" i="2"/>
  <c r="R92" i="2" s="1"/>
  <c r="P84" i="2"/>
  <c r="R84" i="2" s="1"/>
  <c r="P62" i="2"/>
  <c r="R62" i="2" s="1"/>
  <c r="P52" i="2"/>
  <c r="R52" i="2" s="1"/>
  <c r="P69" i="2"/>
  <c r="R69" i="2" s="1"/>
  <c r="P51" i="2"/>
  <c r="R51" i="2" s="1"/>
  <c r="P97" i="2"/>
  <c r="R97" i="2" s="1"/>
  <c r="P82" i="2"/>
  <c r="R82" i="2" s="1"/>
  <c r="P60" i="2"/>
  <c r="R60" i="2" s="1"/>
  <c r="P48" i="2"/>
  <c r="R48" i="2" s="1"/>
  <c r="P87" i="2"/>
  <c r="R87" i="2" s="1"/>
  <c r="P65" i="2"/>
  <c r="R65" i="2" s="1"/>
  <c r="P101" i="2"/>
  <c r="R101" i="2" s="1"/>
  <c r="P98" i="2"/>
  <c r="R98" i="2" s="1"/>
  <c r="P83" i="2"/>
  <c r="R83" i="2" s="1"/>
  <c r="P61" i="2"/>
  <c r="R61" i="2" s="1"/>
  <c r="P68" i="2"/>
  <c r="R68" i="2" s="1"/>
  <c r="P50" i="2"/>
  <c r="R50" i="2" s="1"/>
  <c r="P94" i="2"/>
  <c r="R94" i="2" s="1"/>
  <c r="P79" i="2"/>
  <c r="R79" i="2" s="1"/>
  <c r="P47" i="2"/>
  <c r="R47" i="2" s="1"/>
  <c r="P86" i="2"/>
  <c r="R86" i="2" s="1"/>
  <c r="P54" i="2"/>
  <c r="R54" i="2" s="1"/>
  <c r="P96" i="2"/>
  <c r="R96" i="2" s="1"/>
  <c r="P81" i="2"/>
  <c r="R81" i="2" s="1"/>
  <c r="P67" i="2"/>
  <c r="R67" i="2" s="1"/>
  <c r="P49" i="2"/>
  <c r="R49" i="2" s="1"/>
  <c r="P95" i="2"/>
  <c r="R95" i="2" s="1"/>
  <c r="P80" i="2"/>
  <c r="R80" i="2" s="1"/>
  <c r="P66" i="2"/>
  <c r="R66" i="2" s="1"/>
  <c r="P55" i="2"/>
  <c r="R55" i="2" s="1"/>
  <c r="P93" i="2"/>
  <c r="R93" i="2" s="1"/>
  <c r="P64" i="2"/>
  <c r="R64" i="2" s="1"/>
  <c r="P46" i="2"/>
  <c r="R46" i="2" s="1"/>
  <c r="P100" i="2"/>
  <c r="R100" i="2" s="1"/>
  <c r="P85" i="2"/>
  <c r="R85" i="2" s="1"/>
  <c r="P78" i="2"/>
  <c r="R78" i="2" s="1"/>
  <c r="I7" i="3" s="1"/>
  <c r="P63" i="2"/>
  <c r="R63" i="2" s="1"/>
  <c r="P53" i="2"/>
  <c r="R53" i="2" s="1"/>
  <c r="S55" i="2"/>
  <c r="S54" i="2" s="1"/>
  <c r="S53" i="2" s="1"/>
  <c r="S52" i="2" s="1"/>
  <c r="S51" i="2" s="1"/>
  <c r="S50" i="2" s="1"/>
  <c r="S49" i="2" s="1"/>
  <c r="S48" i="2" s="1"/>
  <c r="S47" i="2" s="1"/>
  <c r="S46" i="2" s="1"/>
  <c r="F8" i="3" s="1"/>
  <c r="F10" i="3" s="1"/>
  <c r="S69" i="2"/>
  <c r="S68" i="2" s="1"/>
  <c r="S67" i="2" s="1"/>
  <c r="S66" i="2" s="1"/>
  <c r="S65" i="2" s="1"/>
  <c r="S64" i="2" s="1"/>
  <c r="S63" i="2" s="1"/>
  <c r="S62" i="2" s="1"/>
  <c r="S61" i="2" s="1"/>
  <c r="S60" i="2" s="1"/>
  <c r="F19" i="3" s="1"/>
  <c r="F21" i="3" s="1"/>
  <c r="S87" i="2"/>
  <c r="S86" i="2" s="1"/>
  <c r="S85" i="2" s="1"/>
  <c r="S84" i="2" s="1"/>
  <c r="S83" i="2" s="1"/>
  <c r="S82" i="2" s="1"/>
  <c r="S81" i="2" s="1"/>
  <c r="S80" i="2" s="1"/>
  <c r="S79" i="2" s="1"/>
  <c r="S78" i="2" s="1"/>
  <c r="I8" i="3" s="1"/>
  <c r="I10" i="3" s="1"/>
  <c r="S101" i="2"/>
  <c r="S100" i="2" s="1"/>
  <c r="S99" i="2" s="1"/>
  <c r="S98" i="2" s="1"/>
  <c r="S97" i="2" s="1"/>
  <c r="S96" i="2" s="1"/>
  <c r="S95" i="2" s="1"/>
  <c r="S94" i="2" s="1"/>
  <c r="S93" i="2" s="1"/>
  <c r="S92" i="2" s="1"/>
  <c r="I19" i="3" s="1"/>
  <c r="I21" i="3" s="1"/>
  <c r="J31" i="2"/>
  <c r="L31" i="2"/>
  <c r="M31" i="2"/>
  <c r="K31" i="2"/>
  <c r="J32" i="2"/>
  <c r="K32" i="2"/>
  <c r="L32" i="2"/>
  <c r="M32" i="2"/>
  <c r="J16" i="2"/>
  <c r="M17" i="2"/>
  <c r="J23" i="2"/>
  <c r="J15" i="2"/>
  <c r="K18" i="2"/>
  <c r="L21" i="2"/>
  <c r="M24" i="2"/>
  <c r="M16" i="2"/>
  <c r="J22" i="2"/>
  <c r="K20" i="2"/>
  <c r="M18" i="2"/>
  <c r="J24" i="2"/>
  <c r="K19" i="2"/>
  <c r="L22" i="2"/>
  <c r="K17" i="2"/>
  <c r="L20" i="2"/>
  <c r="M23" i="2"/>
  <c r="M15" i="2"/>
  <c r="Q16" i="2" s="1"/>
  <c r="J21" i="2"/>
  <c r="K24" i="2"/>
  <c r="K16" i="2"/>
  <c r="L19" i="2"/>
  <c r="M22" i="2"/>
  <c r="J20" i="2"/>
  <c r="K23" i="2"/>
  <c r="L18" i="2"/>
  <c r="M21" i="2"/>
  <c r="J18" i="2"/>
  <c r="K21" i="2"/>
  <c r="L16" i="2"/>
  <c r="M19" i="2"/>
  <c r="J17" i="2"/>
  <c r="L23" i="2"/>
  <c r="S23" i="2" s="1"/>
  <c r="J19" i="2"/>
  <c r="K22" i="2"/>
  <c r="L17" i="2"/>
  <c r="M20" i="2"/>
  <c r="P18" i="2"/>
  <c r="P17" i="2"/>
  <c r="P15" i="2"/>
  <c r="R15" i="2" s="1"/>
  <c r="P31" i="2"/>
  <c r="P28" i="2"/>
  <c r="R28" i="2" s="1"/>
  <c r="P33" i="2"/>
  <c r="P32" i="2"/>
  <c r="P30" i="2"/>
  <c r="R30" i="2" s="1"/>
  <c r="P37" i="2"/>
  <c r="P29" i="2"/>
  <c r="R29" i="2" s="1"/>
  <c r="P36" i="2"/>
  <c r="P35" i="2"/>
  <c r="P34" i="2"/>
  <c r="P16" i="2"/>
  <c r="P14" i="2"/>
  <c r="R14" i="2" s="1"/>
  <c r="P22" i="2"/>
  <c r="P21" i="2"/>
  <c r="P20" i="2"/>
  <c r="P19" i="2"/>
  <c r="I33" i="2"/>
  <c r="AO5" i="1"/>
  <c r="AP118" i="1"/>
  <c r="AP117" i="1"/>
  <c r="AP116" i="1"/>
  <c r="AP115" i="1"/>
  <c r="AP114" i="1"/>
  <c r="AP113" i="1"/>
  <c r="AP112" i="1"/>
  <c r="AP111" i="1"/>
  <c r="AP110" i="1"/>
  <c r="AP109" i="1"/>
  <c r="AP108" i="1"/>
  <c r="AP107" i="1"/>
  <c r="AP106" i="1"/>
  <c r="AP105" i="1"/>
  <c r="AP104" i="1"/>
  <c r="AP103" i="1"/>
  <c r="AP102" i="1"/>
  <c r="AP101" i="1"/>
  <c r="AP100" i="1"/>
  <c r="AP99" i="1"/>
  <c r="AP98" i="1"/>
  <c r="AP97" i="1"/>
  <c r="AP96" i="1"/>
  <c r="AP95" i="1"/>
  <c r="AP94" i="1"/>
  <c r="AP93" i="1"/>
  <c r="AP92" i="1"/>
  <c r="AP91" i="1"/>
  <c r="AP90" i="1"/>
  <c r="AP89" i="1"/>
  <c r="AP88" i="1"/>
  <c r="AP87" i="1"/>
  <c r="AP86" i="1"/>
  <c r="AP85" i="1"/>
  <c r="AP84" i="1"/>
  <c r="AP83" i="1"/>
  <c r="AP82" i="1"/>
  <c r="AP81" i="1"/>
  <c r="AP80" i="1"/>
  <c r="AP79" i="1"/>
  <c r="AP78" i="1"/>
  <c r="AP77" i="1"/>
  <c r="AP76" i="1"/>
  <c r="AP75" i="1"/>
  <c r="AP74" i="1"/>
  <c r="AP73" i="1"/>
  <c r="AP72" i="1"/>
  <c r="AP71" i="1"/>
  <c r="AP70" i="1"/>
  <c r="AP69" i="1"/>
  <c r="AP68" i="1"/>
  <c r="AP67" i="1"/>
  <c r="AP66" i="1"/>
  <c r="AP65" i="1"/>
  <c r="AP64" i="1"/>
  <c r="AP63" i="1"/>
  <c r="AP62" i="1"/>
  <c r="AP61" i="1"/>
  <c r="AP60" i="1"/>
  <c r="AP59" i="1"/>
  <c r="AP58" i="1"/>
  <c r="AP57" i="1"/>
  <c r="AP56" i="1"/>
  <c r="AP55" i="1"/>
  <c r="AP54" i="1"/>
  <c r="AP53" i="1"/>
  <c r="AP52" i="1"/>
  <c r="AP51" i="1"/>
  <c r="AP50" i="1"/>
  <c r="AP49" i="1"/>
  <c r="AP48" i="1"/>
  <c r="AP47" i="1"/>
  <c r="AP46" i="1"/>
  <c r="AP45" i="1"/>
  <c r="AP44" i="1"/>
  <c r="AP43" i="1"/>
  <c r="AP42" i="1"/>
  <c r="AP41" i="1"/>
  <c r="AP40" i="1"/>
  <c r="AP39" i="1"/>
  <c r="AP38" i="1"/>
  <c r="AP37" i="1"/>
  <c r="AP36" i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P6" i="1"/>
  <c r="AP5" i="1"/>
  <c r="AN5" i="1"/>
  <c r="AN6" i="1" s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5" i="1"/>
  <c r="AH6" i="1"/>
  <c r="AG7" i="1"/>
  <c r="AG6" i="1"/>
  <c r="AH5" i="1"/>
  <c r="AG5" i="1"/>
  <c r="I12" i="3" l="1"/>
  <c r="I11" i="3"/>
  <c r="L7" i="3"/>
  <c r="F7" i="3"/>
  <c r="F18" i="3"/>
  <c r="I18" i="3"/>
  <c r="O7" i="3"/>
  <c r="L18" i="3"/>
  <c r="O18" i="3"/>
  <c r="Q32" i="2"/>
  <c r="Q33" i="2" s="1"/>
  <c r="Q17" i="2"/>
  <c r="Q18" i="2" s="1"/>
  <c r="Q19" i="2"/>
  <c r="Q20" i="2" s="1"/>
  <c r="Q21" i="2" s="1"/>
  <c r="Q22" i="2" s="1"/>
  <c r="Q23" i="2" s="1"/>
  <c r="Q24" i="2" s="1"/>
  <c r="R24" i="2" s="1"/>
  <c r="L33" i="2"/>
  <c r="K33" i="2"/>
  <c r="J33" i="2"/>
  <c r="M33" i="2"/>
  <c r="S22" i="2"/>
  <c r="S21" i="2" s="1"/>
  <c r="S20" i="2" s="1"/>
  <c r="S19" i="2" s="1"/>
  <c r="S18" i="2" s="1"/>
  <c r="S17" i="2" s="1"/>
  <c r="S16" i="2" s="1"/>
  <c r="S15" i="2" s="1"/>
  <c r="S14" i="2" s="1"/>
  <c r="C8" i="3" s="1"/>
  <c r="C10" i="3" s="1"/>
  <c r="R18" i="2"/>
  <c r="R17" i="2"/>
  <c r="R16" i="2"/>
  <c r="R19" i="2"/>
  <c r="R31" i="2"/>
  <c r="I34" i="2"/>
  <c r="AO6" i="1"/>
  <c r="AN7" i="1"/>
  <c r="AH7" i="1"/>
  <c r="AG8" i="1" s="1"/>
  <c r="G118" i="1"/>
  <c r="H118" i="1" s="1"/>
  <c r="G117" i="1"/>
  <c r="H117" i="1" s="1"/>
  <c r="G116" i="1"/>
  <c r="H116" i="1" s="1"/>
  <c r="G115" i="1"/>
  <c r="H115" i="1" s="1"/>
  <c r="G114" i="1"/>
  <c r="H114" i="1" s="1"/>
  <c r="G113" i="1"/>
  <c r="H113" i="1" s="1"/>
  <c r="G112" i="1"/>
  <c r="H112" i="1" s="1"/>
  <c r="G111" i="1"/>
  <c r="H111" i="1" s="1"/>
  <c r="G110" i="1"/>
  <c r="H110" i="1" s="1"/>
  <c r="G109" i="1"/>
  <c r="H109" i="1" s="1"/>
  <c r="G108" i="1"/>
  <c r="H108" i="1" s="1"/>
  <c r="G107" i="1"/>
  <c r="H107" i="1" s="1"/>
  <c r="G106" i="1"/>
  <c r="H106" i="1" s="1"/>
  <c r="G105" i="1"/>
  <c r="H105" i="1" s="1"/>
  <c r="G104" i="1"/>
  <c r="H104" i="1" s="1"/>
  <c r="G103" i="1"/>
  <c r="H103" i="1" s="1"/>
  <c r="G102" i="1"/>
  <c r="H102" i="1" s="1"/>
  <c r="G101" i="1"/>
  <c r="H101" i="1" s="1"/>
  <c r="G100" i="1"/>
  <c r="H100" i="1" s="1"/>
  <c r="G99" i="1"/>
  <c r="H99" i="1" s="1"/>
  <c r="G98" i="1"/>
  <c r="H98" i="1" s="1"/>
  <c r="G97" i="1"/>
  <c r="H97" i="1" s="1"/>
  <c r="G96" i="1"/>
  <c r="H96" i="1" s="1"/>
  <c r="G95" i="1"/>
  <c r="H95" i="1" s="1"/>
  <c r="G94" i="1"/>
  <c r="H94" i="1" s="1"/>
  <c r="G93" i="1"/>
  <c r="H93" i="1" s="1"/>
  <c r="G92" i="1"/>
  <c r="H92" i="1" s="1"/>
  <c r="G91" i="1"/>
  <c r="H91" i="1" s="1"/>
  <c r="G90" i="1"/>
  <c r="H90" i="1" s="1"/>
  <c r="G89" i="1"/>
  <c r="H89" i="1" s="1"/>
  <c r="G88" i="1"/>
  <c r="H88" i="1" s="1"/>
  <c r="G87" i="1"/>
  <c r="H87" i="1" s="1"/>
  <c r="G86" i="1"/>
  <c r="H86" i="1" s="1"/>
  <c r="G85" i="1"/>
  <c r="H85" i="1" s="1"/>
  <c r="G84" i="1"/>
  <c r="H84" i="1" s="1"/>
  <c r="G83" i="1"/>
  <c r="H83" i="1" s="1"/>
  <c r="G82" i="1"/>
  <c r="H82" i="1" s="1"/>
  <c r="G81" i="1"/>
  <c r="H81" i="1" s="1"/>
  <c r="G80" i="1"/>
  <c r="H80" i="1" s="1"/>
  <c r="G79" i="1"/>
  <c r="H79" i="1" s="1"/>
  <c r="G78" i="1"/>
  <c r="H78" i="1" s="1"/>
  <c r="G77" i="1"/>
  <c r="H77" i="1" s="1"/>
  <c r="G76" i="1"/>
  <c r="H76" i="1" s="1"/>
  <c r="G75" i="1"/>
  <c r="H75" i="1" s="1"/>
  <c r="G74" i="1"/>
  <c r="H74" i="1" s="1"/>
  <c r="G73" i="1"/>
  <c r="H73" i="1" s="1"/>
  <c r="G72" i="1"/>
  <c r="H72" i="1" s="1"/>
  <c r="G71" i="1"/>
  <c r="H71" i="1" s="1"/>
  <c r="G70" i="1"/>
  <c r="H70" i="1" s="1"/>
  <c r="G69" i="1"/>
  <c r="H69" i="1" s="1"/>
  <c r="G68" i="1"/>
  <c r="H68" i="1" s="1"/>
  <c r="G67" i="1"/>
  <c r="H67" i="1" s="1"/>
  <c r="G66" i="1"/>
  <c r="H66" i="1" s="1"/>
  <c r="G65" i="1"/>
  <c r="H65" i="1" s="1"/>
  <c r="G64" i="1"/>
  <c r="H64" i="1" s="1"/>
  <c r="G63" i="1"/>
  <c r="H63" i="1" s="1"/>
  <c r="G62" i="1"/>
  <c r="H62" i="1" s="1"/>
  <c r="G61" i="1"/>
  <c r="H61" i="1" s="1"/>
  <c r="G60" i="1"/>
  <c r="H60" i="1" s="1"/>
  <c r="G59" i="1"/>
  <c r="H59" i="1" s="1"/>
  <c r="G58" i="1"/>
  <c r="H58" i="1" s="1"/>
  <c r="G57" i="1"/>
  <c r="H57" i="1" s="1"/>
  <c r="G56" i="1"/>
  <c r="H56" i="1" s="1"/>
  <c r="G55" i="1"/>
  <c r="H55" i="1" s="1"/>
  <c r="G54" i="1"/>
  <c r="H54" i="1" s="1"/>
  <c r="G53" i="1"/>
  <c r="H53" i="1" s="1"/>
  <c r="G52" i="1"/>
  <c r="H52" i="1" s="1"/>
  <c r="H51" i="1"/>
  <c r="G51" i="1"/>
  <c r="G50" i="1"/>
  <c r="H50" i="1" s="1"/>
  <c r="G49" i="1"/>
  <c r="H49" i="1" s="1"/>
  <c r="G48" i="1"/>
  <c r="H48" i="1" s="1"/>
  <c r="G47" i="1"/>
  <c r="H47" i="1" s="1"/>
  <c r="G46" i="1"/>
  <c r="H46" i="1" s="1"/>
  <c r="G45" i="1"/>
  <c r="H45" i="1" s="1"/>
  <c r="G44" i="1"/>
  <c r="H44" i="1" s="1"/>
  <c r="G43" i="1"/>
  <c r="H43" i="1" s="1"/>
  <c r="G42" i="1"/>
  <c r="H42" i="1" s="1"/>
  <c r="G41" i="1"/>
  <c r="H41" i="1" s="1"/>
  <c r="G40" i="1"/>
  <c r="H40" i="1" s="1"/>
  <c r="G39" i="1"/>
  <c r="H39" i="1" s="1"/>
  <c r="G38" i="1"/>
  <c r="H38" i="1" s="1"/>
  <c r="G37" i="1"/>
  <c r="H37" i="1" s="1"/>
  <c r="G36" i="1"/>
  <c r="H36" i="1" s="1"/>
  <c r="G35" i="1"/>
  <c r="H35" i="1" s="1"/>
  <c r="G34" i="1"/>
  <c r="H34" i="1" s="1"/>
  <c r="G33" i="1"/>
  <c r="H33" i="1" s="1"/>
  <c r="G32" i="1"/>
  <c r="H32" i="1" s="1"/>
  <c r="G31" i="1"/>
  <c r="H31" i="1" s="1"/>
  <c r="G30" i="1"/>
  <c r="H30" i="1" s="1"/>
  <c r="G29" i="1"/>
  <c r="H29" i="1" s="1"/>
  <c r="G28" i="1"/>
  <c r="H28" i="1" s="1"/>
  <c r="G27" i="1"/>
  <c r="H27" i="1" s="1"/>
  <c r="G26" i="1"/>
  <c r="H26" i="1" s="1"/>
  <c r="G25" i="1"/>
  <c r="H25" i="1" s="1"/>
  <c r="G24" i="1"/>
  <c r="H24" i="1" s="1"/>
  <c r="G23" i="1"/>
  <c r="H23" i="1" s="1"/>
  <c r="G22" i="1"/>
  <c r="H22" i="1" s="1"/>
  <c r="G21" i="1"/>
  <c r="H21" i="1" s="1"/>
  <c r="G20" i="1"/>
  <c r="H20" i="1" s="1"/>
  <c r="G19" i="1"/>
  <c r="H19" i="1" s="1"/>
  <c r="G18" i="1"/>
  <c r="H18" i="1" s="1"/>
  <c r="G17" i="1"/>
  <c r="H17" i="1" s="1"/>
  <c r="G16" i="1"/>
  <c r="H16" i="1" s="1"/>
  <c r="G15" i="1"/>
  <c r="H15" i="1" s="1"/>
  <c r="H14" i="1"/>
  <c r="G14" i="1"/>
  <c r="G13" i="1"/>
  <c r="H13" i="1" s="1"/>
  <c r="G12" i="1"/>
  <c r="H12" i="1" s="1"/>
  <c r="G11" i="1"/>
  <c r="H11" i="1" s="1"/>
  <c r="G10" i="1"/>
  <c r="H10" i="1" s="1"/>
  <c r="G9" i="1"/>
  <c r="H9" i="1" s="1"/>
  <c r="G8" i="1"/>
  <c r="H8" i="1" s="1"/>
  <c r="G7" i="1"/>
  <c r="H7" i="1" s="1"/>
  <c r="G6" i="1"/>
  <c r="H6" i="1" s="1"/>
  <c r="G5" i="1"/>
  <c r="I14" i="3" l="1"/>
  <c r="F11" i="3"/>
  <c r="F12" i="3"/>
  <c r="L12" i="3"/>
  <c r="L11" i="3"/>
  <c r="L14" i="3" s="1"/>
  <c r="L22" i="3"/>
  <c r="L23" i="3"/>
  <c r="I22" i="3"/>
  <c r="I23" i="3"/>
  <c r="F22" i="3"/>
  <c r="F23" i="3"/>
  <c r="O11" i="3"/>
  <c r="O12" i="3"/>
  <c r="O22" i="3"/>
  <c r="O23" i="3"/>
  <c r="K34" i="2"/>
  <c r="L34" i="2"/>
  <c r="J34" i="2"/>
  <c r="M34" i="2"/>
  <c r="Q34" i="2"/>
  <c r="R20" i="2"/>
  <c r="R32" i="2"/>
  <c r="I35" i="2"/>
  <c r="AO7" i="1"/>
  <c r="AN8" i="1" s="1"/>
  <c r="AH8" i="1"/>
  <c r="AG9" i="1" s="1"/>
  <c r="T24" i="1"/>
  <c r="U24" i="1" s="1"/>
  <c r="T23" i="1"/>
  <c r="U23" i="1" s="1"/>
  <c r="H5" i="1"/>
  <c r="I25" i="3" l="1"/>
  <c r="L25" i="3"/>
  <c r="O14" i="3"/>
  <c r="O25" i="3"/>
  <c r="F14" i="3"/>
  <c r="F25" i="3"/>
  <c r="K35" i="2"/>
  <c r="M35" i="2"/>
  <c r="L35" i="2"/>
  <c r="J35" i="2"/>
  <c r="Q35" i="2"/>
  <c r="R21" i="2"/>
  <c r="R33" i="2"/>
  <c r="I36" i="2"/>
  <c r="AO8" i="1"/>
  <c r="AN9" i="1" s="1"/>
  <c r="AH9" i="1"/>
  <c r="AG10" i="1" s="1"/>
  <c r="Q36" i="2" l="1"/>
  <c r="J36" i="2"/>
  <c r="M36" i="2"/>
  <c r="Q37" i="2" s="1"/>
  <c r="K36" i="2"/>
  <c r="L36" i="2"/>
  <c r="R23" i="2"/>
  <c r="R22" i="2"/>
  <c r="R34" i="2"/>
  <c r="I37" i="2"/>
  <c r="AO9" i="1"/>
  <c r="AN10" i="1" s="1"/>
  <c r="AH10" i="1"/>
  <c r="AG11" i="1" s="1"/>
  <c r="C12" i="3" l="1"/>
  <c r="C11" i="3"/>
  <c r="R37" i="2"/>
  <c r="J37" i="2"/>
  <c r="M37" i="2"/>
  <c r="Q38" i="2" s="1"/>
  <c r="R38" i="2" s="1"/>
  <c r="K37" i="2"/>
  <c r="L37" i="2"/>
  <c r="R35" i="2"/>
  <c r="I38" i="2"/>
  <c r="AO10" i="1"/>
  <c r="AN11" i="1" s="1"/>
  <c r="AH11" i="1"/>
  <c r="AG12" i="1" s="1"/>
  <c r="C14" i="3" l="1"/>
  <c r="D4" i="4" s="1"/>
  <c r="F4" i="4" s="1"/>
  <c r="M38" i="2"/>
  <c r="J38" i="2"/>
  <c r="L38" i="2"/>
  <c r="K38" i="2"/>
  <c r="S37" i="2"/>
  <c r="S36" i="2" s="1"/>
  <c r="S35" i="2" s="1"/>
  <c r="S34" i="2" s="1"/>
  <c r="S33" i="2" s="1"/>
  <c r="S32" i="2" s="1"/>
  <c r="S31" i="2" s="1"/>
  <c r="S30" i="2" s="1"/>
  <c r="S29" i="2" s="1"/>
  <c r="S28" i="2" s="1"/>
  <c r="C19" i="3" s="1"/>
  <c r="C21" i="3" s="1"/>
  <c r="R36" i="2"/>
  <c r="C18" i="3" s="1"/>
  <c r="AO11" i="1"/>
  <c r="AN12" i="1" s="1"/>
  <c r="AG13" i="1"/>
  <c r="AH12" i="1"/>
  <c r="F9" i="4" l="1"/>
  <c r="K4" i="4"/>
  <c r="K9" i="4" s="1"/>
  <c r="I9" i="4"/>
  <c r="J9" i="4"/>
  <c r="H9" i="4"/>
  <c r="G4" i="4"/>
  <c r="C23" i="3"/>
  <c r="C22" i="3"/>
  <c r="C25" i="3" s="1"/>
  <c r="AO12" i="1"/>
  <c r="AN13" i="1"/>
  <c r="AH13" i="1"/>
  <c r="AG14" i="1" s="1"/>
  <c r="AO13" i="1" l="1"/>
  <c r="AN14" i="1" s="1"/>
  <c r="AH14" i="1"/>
  <c r="AG15" i="1" s="1"/>
  <c r="AO14" i="1" l="1"/>
  <c r="AN15" i="1" s="1"/>
  <c r="AH15" i="1"/>
  <c r="AG16" i="1" s="1"/>
  <c r="AO15" i="1" l="1"/>
  <c r="AN16" i="1" s="1"/>
  <c r="AH16" i="1"/>
  <c r="AG17" i="1" s="1"/>
  <c r="AO16" i="1" l="1"/>
  <c r="AN17" i="1"/>
  <c r="AH17" i="1"/>
  <c r="AG18" i="1" s="1"/>
  <c r="AO17" i="1" l="1"/>
  <c r="AN18" i="1" s="1"/>
  <c r="AH18" i="1"/>
  <c r="AG19" i="1" s="1"/>
  <c r="AO18" i="1" l="1"/>
  <c r="AN19" i="1" s="1"/>
  <c r="AH19" i="1"/>
  <c r="AG20" i="1" s="1"/>
  <c r="AO19" i="1" l="1"/>
  <c r="AN20" i="1" s="1"/>
  <c r="AH20" i="1"/>
  <c r="AG21" i="1" s="1"/>
  <c r="AO20" i="1" l="1"/>
  <c r="AN21" i="1"/>
  <c r="AG22" i="1"/>
  <c r="AH21" i="1"/>
  <c r="AO21" i="1" l="1"/>
  <c r="AN22" i="1"/>
  <c r="AH22" i="1"/>
  <c r="AG23" i="1" s="1"/>
  <c r="AO22" i="1" l="1"/>
  <c r="AN23" i="1" s="1"/>
  <c r="AH23" i="1"/>
  <c r="AG24" i="1" s="1"/>
  <c r="AO23" i="1" l="1"/>
  <c r="AN24" i="1" s="1"/>
  <c r="AH24" i="1"/>
  <c r="AG25" i="1" s="1"/>
  <c r="AO24" i="1" l="1"/>
  <c r="AN25" i="1" s="1"/>
  <c r="AH25" i="1"/>
  <c r="AG26" i="1" s="1"/>
  <c r="AO25" i="1" l="1"/>
  <c r="AN26" i="1" s="1"/>
  <c r="AH26" i="1"/>
  <c r="AG27" i="1" s="1"/>
  <c r="AO26" i="1" l="1"/>
  <c r="AN27" i="1" s="1"/>
  <c r="AH27" i="1"/>
  <c r="AG28" i="1" s="1"/>
  <c r="AO27" i="1" l="1"/>
  <c r="AN28" i="1" s="1"/>
  <c r="AH28" i="1"/>
  <c r="AG29" i="1" s="1"/>
  <c r="AO28" i="1" l="1"/>
  <c r="AN29" i="1"/>
  <c r="AH29" i="1"/>
  <c r="AG30" i="1" s="1"/>
  <c r="AO29" i="1" l="1"/>
  <c r="AN30" i="1" s="1"/>
  <c r="AH30" i="1"/>
  <c r="AG31" i="1" s="1"/>
  <c r="AO30" i="1" l="1"/>
  <c r="AN31" i="1" s="1"/>
  <c r="AH31" i="1"/>
  <c r="AG32" i="1" s="1"/>
  <c r="AO31" i="1" l="1"/>
  <c r="AN32" i="1"/>
  <c r="AH32" i="1"/>
  <c r="AG33" i="1" s="1"/>
  <c r="AO32" i="1" l="1"/>
  <c r="AN33" i="1"/>
  <c r="AG34" i="1"/>
  <c r="AH33" i="1"/>
  <c r="AO33" i="1" l="1"/>
  <c r="AN34" i="1"/>
  <c r="AH34" i="1"/>
  <c r="AG35" i="1" s="1"/>
  <c r="AO34" i="1" l="1"/>
  <c r="AN35" i="1" s="1"/>
  <c r="AG36" i="1"/>
  <c r="AH35" i="1"/>
  <c r="AO35" i="1" l="1"/>
  <c r="AN36" i="1" s="1"/>
  <c r="AG37" i="1"/>
  <c r="AH36" i="1"/>
  <c r="AO36" i="1" l="1"/>
  <c r="AN37" i="1" s="1"/>
  <c r="AH37" i="1"/>
  <c r="AG38" i="1" s="1"/>
  <c r="AO37" i="1" l="1"/>
  <c r="AN38" i="1"/>
  <c r="AH38" i="1"/>
  <c r="AG39" i="1" s="1"/>
  <c r="AO38" i="1" l="1"/>
  <c r="AN39" i="1" s="1"/>
  <c r="AH39" i="1"/>
  <c r="AG40" i="1" s="1"/>
  <c r="AO39" i="1" l="1"/>
  <c r="AN40" i="1" s="1"/>
  <c r="AH40" i="1"/>
  <c r="AG41" i="1" s="1"/>
  <c r="AO40" i="1" l="1"/>
  <c r="AN41" i="1" s="1"/>
  <c r="AH41" i="1"/>
  <c r="AG42" i="1" s="1"/>
  <c r="AO41" i="1" l="1"/>
  <c r="AN42" i="1" s="1"/>
  <c r="AH42" i="1"/>
  <c r="AG43" i="1" s="1"/>
  <c r="AO42" i="1" l="1"/>
  <c r="AN43" i="1"/>
  <c r="AH43" i="1"/>
  <c r="AG44" i="1" s="1"/>
  <c r="AO43" i="1" l="1"/>
  <c r="AN44" i="1" s="1"/>
  <c r="AH44" i="1"/>
  <c r="AG45" i="1" s="1"/>
  <c r="AO44" i="1" l="1"/>
  <c r="AN45" i="1"/>
  <c r="AH45" i="1"/>
  <c r="AG46" i="1" s="1"/>
  <c r="AO45" i="1" l="1"/>
  <c r="AN46" i="1" s="1"/>
  <c r="AH46" i="1"/>
  <c r="AG47" i="1" s="1"/>
  <c r="AO46" i="1" l="1"/>
  <c r="AN47" i="1"/>
  <c r="AH47" i="1"/>
  <c r="AG48" i="1" s="1"/>
  <c r="AO47" i="1" l="1"/>
  <c r="AN48" i="1" s="1"/>
  <c r="AH48" i="1"/>
  <c r="AG49" i="1" s="1"/>
  <c r="AO48" i="1" l="1"/>
  <c r="AN49" i="1"/>
  <c r="AH49" i="1"/>
  <c r="AG50" i="1" s="1"/>
  <c r="AO49" i="1" l="1"/>
  <c r="AN50" i="1"/>
  <c r="AH50" i="1"/>
  <c r="AG51" i="1" s="1"/>
  <c r="AO50" i="1" l="1"/>
  <c r="AN51" i="1" s="1"/>
  <c r="AH51" i="1"/>
  <c r="AG52" i="1" s="1"/>
  <c r="AO51" i="1" l="1"/>
  <c r="AN52" i="1" s="1"/>
  <c r="AH52" i="1"/>
  <c r="AG53" i="1" s="1"/>
  <c r="AO52" i="1" l="1"/>
  <c r="AN53" i="1"/>
  <c r="AH53" i="1"/>
  <c r="AG54" i="1" s="1"/>
  <c r="AO53" i="1" l="1"/>
  <c r="AN54" i="1" s="1"/>
  <c r="AH54" i="1"/>
  <c r="AG55" i="1" s="1"/>
  <c r="AO54" i="1" l="1"/>
  <c r="AN55" i="1" s="1"/>
  <c r="AH55" i="1"/>
  <c r="AG56" i="1" s="1"/>
  <c r="AO55" i="1" l="1"/>
  <c r="AN56" i="1" s="1"/>
  <c r="AH56" i="1"/>
  <c r="AG57" i="1" s="1"/>
  <c r="AO56" i="1" l="1"/>
  <c r="AN57" i="1" s="1"/>
  <c r="AG58" i="1"/>
  <c r="AH57" i="1"/>
  <c r="AO57" i="1" l="1"/>
  <c r="AN58" i="1" s="1"/>
  <c r="AH58" i="1"/>
  <c r="AG59" i="1" s="1"/>
  <c r="AO58" i="1" l="1"/>
  <c r="AN59" i="1"/>
  <c r="AG60" i="1"/>
  <c r="AH59" i="1"/>
  <c r="AO59" i="1" l="1"/>
  <c r="AN60" i="1" s="1"/>
  <c r="AG61" i="1"/>
  <c r="AH60" i="1"/>
  <c r="AO60" i="1" l="1"/>
  <c r="AN61" i="1"/>
  <c r="AG62" i="1"/>
  <c r="AH61" i="1"/>
  <c r="AO61" i="1" l="1"/>
  <c r="AN62" i="1" s="1"/>
  <c r="AG63" i="1"/>
  <c r="AH62" i="1"/>
  <c r="AO62" i="1" l="1"/>
  <c r="AN63" i="1" s="1"/>
  <c r="AH63" i="1"/>
  <c r="AG64" i="1" s="1"/>
  <c r="AO63" i="1" l="1"/>
  <c r="AN64" i="1" s="1"/>
  <c r="AH64" i="1"/>
  <c r="AG65" i="1" s="1"/>
  <c r="AO64" i="1" l="1"/>
  <c r="AN65" i="1" s="1"/>
  <c r="AH65" i="1"/>
  <c r="AG66" i="1" s="1"/>
  <c r="AO65" i="1" l="1"/>
  <c r="AN66" i="1" s="1"/>
  <c r="AH66" i="1"/>
  <c r="AG67" i="1" s="1"/>
  <c r="AO66" i="1" l="1"/>
  <c r="AN67" i="1"/>
  <c r="AG68" i="1"/>
  <c r="AH67" i="1"/>
  <c r="AO67" i="1" l="1"/>
  <c r="AN68" i="1" s="1"/>
  <c r="AG69" i="1"/>
  <c r="AH68" i="1"/>
  <c r="AO68" i="1" l="1"/>
  <c r="AN69" i="1"/>
  <c r="AH69" i="1"/>
  <c r="AG70" i="1" s="1"/>
  <c r="AO69" i="1" l="1"/>
  <c r="AN70" i="1" s="1"/>
  <c r="AH70" i="1"/>
  <c r="AG71" i="1" s="1"/>
  <c r="AO70" i="1" l="1"/>
  <c r="AN71" i="1" s="1"/>
  <c r="AG72" i="1"/>
  <c r="AH71" i="1"/>
  <c r="AO71" i="1" l="1"/>
  <c r="AN72" i="1" s="1"/>
  <c r="AH72" i="1"/>
  <c r="AG73" i="1" s="1"/>
  <c r="AO72" i="1" l="1"/>
  <c r="AN73" i="1"/>
  <c r="AH73" i="1"/>
  <c r="AG74" i="1" s="1"/>
  <c r="AO73" i="1" l="1"/>
  <c r="AN74" i="1" s="1"/>
  <c r="AG75" i="1"/>
  <c r="AH74" i="1"/>
  <c r="AO74" i="1" l="1"/>
  <c r="AN75" i="1" s="1"/>
  <c r="AG76" i="1"/>
  <c r="AH75" i="1"/>
  <c r="AO75" i="1" l="1"/>
  <c r="AN76" i="1" s="1"/>
  <c r="AH76" i="1"/>
  <c r="AG77" i="1" s="1"/>
  <c r="AO76" i="1" l="1"/>
  <c r="AN77" i="1" s="1"/>
  <c r="AH77" i="1"/>
  <c r="AG78" i="1" s="1"/>
  <c r="AO77" i="1" l="1"/>
  <c r="AN78" i="1" s="1"/>
  <c r="AH78" i="1"/>
  <c r="AG79" i="1" s="1"/>
  <c r="AO78" i="1" l="1"/>
  <c r="AN79" i="1" s="1"/>
  <c r="AG80" i="1"/>
  <c r="AH79" i="1"/>
  <c r="AO79" i="1" l="1"/>
  <c r="AN80" i="1" s="1"/>
  <c r="AH80" i="1"/>
  <c r="AG81" i="1" s="1"/>
  <c r="AO80" i="1" l="1"/>
  <c r="AN81" i="1" s="1"/>
  <c r="AH81" i="1"/>
  <c r="AG82" i="1" s="1"/>
  <c r="AO81" i="1" l="1"/>
  <c r="AN82" i="1" s="1"/>
  <c r="AH82" i="1"/>
  <c r="AG83" i="1" s="1"/>
  <c r="AO82" i="1" l="1"/>
  <c r="AN83" i="1"/>
  <c r="AH83" i="1"/>
  <c r="AG84" i="1" s="1"/>
  <c r="AO83" i="1" l="1"/>
  <c r="AN84" i="1" s="1"/>
  <c r="AH84" i="1"/>
  <c r="AG85" i="1" s="1"/>
  <c r="AO84" i="1" l="1"/>
  <c r="AN85" i="1"/>
  <c r="AH85" i="1"/>
  <c r="AG86" i="1" s="1"/>
  <c r="AO85" i="1" l="1"/>
  <c r="AN86" i="1" s="1"/>
  <c r="AH86" i="1"/>
  <c r="AG87" i="1" s="1"/>
  <c r="AO86" i="1" l="1"/>
  <c r="AN87" i="1" s="1"/>
  <c r="AH87" i="1"/>
  <c r="AG88" i="1" s="1"/>
  <c r="AO87" i="1" l="1"/>
  <c r="AN88" i="1" s="1"/>
  <c r="AH88" i="1"/>
  <c r="AG89" i="1" s="1"/>
  <c r="AO88" i="1" l="1"/>
  <c r="AN89" i="1" s="1"/>
  <c r="AH89" i="1"/>
  <c r="AG90" i="1" s="1"/>
  <c r="AO89" i="1" l="1"/>
  <c r="AN90" i="1" s="1"/>
  <c r="AH90" i="1"/>
  <c r="AG91" i="1" s="1"/>
  <c r="AO90" i="1" l="1"/>
  <c r="AN91" i="1"/>
  <c r="AG92" i="1"/>
  <c r="AH91" i="1"/>
  <c r="AO91" i="1" l="1"/>
  <c r="AN92" i="1" s="1"/>
  <c r="AH92" i="1"/>
  <c r="AG93" i="1" s="1"/>
  <c r="AO92" i="1" l="1"/>
  <c r="AN93" i="1" s="1"/>
  <c r="AH93" i="1"/>
  <c r="AG94" i="1" s="1"/>
  <c r="AO93" i="1" l="1"/>
  <c r="AN94" i="1" s="1"/>
  <c r="AH94" i="1"/>
  <c r="AG95" i="1" s="1"/>
  <c r="AO94" i="1" l="1"/>
  <c r="AN95" i="1"/>
  <c r="AH95" i="1"/>
  <c r="AG96" i="1" s="1"/>
  <c r="AO95" i="1" l="1"/>
  <c r="AN96" i="1" s="1"/>
  <c r="AH96" i="1"/>
  <c r="AG97" i="1" s="1"/>
  <c r="AO96" i="1" l="1"/>
  <c r="AN97" i="1"/>
  <c r="AH97" i="1"/>
  <c r="AG98" i="1" s="1"/>
  <c r="AO97" i="1" l="1"/>
  <c r="AN98" i="1" s="1"/>
  <c r="AG99" i="1"/>
  <c r="AH98" i="1"/>
  <c r="AO98" i="1" l="1"/>
  <c r="AN99" i="1"/>
  <c r="AH99" i="1"/>
  <c r="AG100" i="1" s="1"/>
  <c r="AO99" i="1" l="1"/>
  <c r="AN100" i="1" s="1"/>
  <c r="AH100" i="1"/>
  <c r="AG101" i="1" s="1"/>
  <c r="AO100" i="1" l="1"/>
  <c r="AN101" i="1"/>
  <c r="AH101" i="1"/>
  <c r="AG102" i="1" s="1"/>
  <c r="AO101" i="1" l="1"/>
  <c r="AN102" i="1" s="1"/>
  <c r="AH102" i="1"/>
  <c r="AG103" i="1" s="1"/>
  <c r="AO102" i="1" l="1"/>
  <c r="AN103" i="1"/>
  <c r="AH103" i="1"/>
  <c r="AG104" i="1" s="1"/>
  <c r="AO103" i="1" l="1"/>
  <c r="AN104" i="1" s="1"/>
  <c r="AH104" i="1"/>
  <c r="AG105" i="1" s="1"/>
  <c r="AO104" i="1" l="1"/>
  <c r="AN105" i="1"/>
  <c r="AH105" i="1"/>
  <c r="AG106" i="1" s="1"/>
  <c r="AO105" i="1" l="1"/>
  <c r="AN106" i="1" s="1"/>
  <c r="AH106" i="1"/>
  <c r="AG107" i="1" s="1"/>
  <c r="AO106" i="1" l="1"/>
  <c r="AN107" i="1"/>
  <c r="AH107" i="1"/>
  <c r="AG108" i="1" s="1"/>
  <c r="AO107" i="1" l="1"/>
  <c r="AN108" i="1" s="1"/>
  <c r="AG109" i="1"/>
  <c r="AH108" i="1"/>
  <c r="AO108" i="1" l="1"/>
  <c r="AN109" i="1" s="1"/>
  <c r="AH109" i="1"/>
  <c r="AG110" i="1" s="1"/>
  <c r="AO109" i="1" l="1"/>
  <c r="AN110" i="1" s="1"/>
  <c r="AH110" i="1"/>
  <c r="AG111" i="1" s="1"/>
  <c r="AO110" i="1" l="1"/>
  <c r="AN111" i="1"/>
  <c r="AH111" i="1"/>
  <c r="AG112" i="1" s="1"/>
  <c r="AO111" i="1" l="1"/>
  <c r="AN112" i="1" s="1"/>
  <c r="AH112" i="1"/>
  <c r="AG113" i="1" s="1"/>
  <c r="AO112" i="1" l="1"/>
  <c r="AN113" i="1"/>
  <c r="AH113" i="1"/>
  <c r="AG114" i="1" s="1"/>
  <c r="AO113" i="1" l="1"/>
  <c r="AN114" i="1" s="1"/>
  <c r="AH114" i="1"/>
  <c r="AG115" i="1" s="1"/>
  <c r="AO114" i="1" l="1"/>
  <c r="AN115" i="1"/>
  <c r="AH115" i="1"/>
  <c r="AG116" i="1" s="1"/>
  <c r="AO115" i="1" l="1"/>
  <c r="AN116" i="1" s="1"/>
  <c r="AH116" i="1"/>
  <c r="AG117" i="1" s="1"/>
  <c r="AO116" i="1" l="1"/>
  <c r="AN117" i="1"/>
  <c r="AH117" i="1"/>
  <c r="AG118" i="1" s="1"/>
  <c r="AH118" i="1" s="1"/>
  <c r="AO117" i="1" l="1"/>
  <c r="AN118" i="1" s="1"/>
  <c r="AO118" i="1" s="1"/>
  <c r="P10" i="6" l="1"/>
  <c r="O11" i="6"/>
  <c r="P11" i="6" s="1"/>
  <c r="H22" i="6"/>
  <c r="H24" i="6" s="1"/>
  <c r="O12" i="6" l="1"/>
  <c r="P12" i="6" l="1"/>
  <c r="O13" i="6"/>
  <c r="P13" i="6" l="1"/>
  <c r="O14" i="6"/>
  <c r="O15" i="6" l="1"/>
  <c r="P14" i="6"/>
  <c r="O16" i="6" l="1"/>
  <c r="P15" i="6"/>
  <c r="O17" i="6" l="1"/>
  <c r="P16" i="6"/>
  <c r="P17" i="6" l="1"/>
  <c r="O18" i="6"/>
  <c r="O19" i="6" s="1"/>
  <c r="P18" i="6" l="1"/>
  <c r="H21" i="6" s="1"/>
  <c r="H25" i="6" l="1"/>
  <c r="H26" i="6"/>
  <c r="H28" i="6" l="1"/>
  <c r="AD6" i="6" l="1"/>
  <c r="AD7" i="6"/>
  <c r="AD8" i="6"/>
  <c r="AD9" i="6"/>
  <c r="AD10" i="6"/>
  <c r="AC6" i="6"/>
  <c r="AC7" i="6"/>
  <c r="AC8" i="6"/>
  <c r="AC9" i="6"/>
  <c r="AC10" i="6"/>
  <c r="U5" i="6"/>
  <c r="AB5" i="6"/>
</calcChain>
</file>

<file path=xl/sharedStrings.xml><?xml version="1.0" encoding="utf-8"?>
<sst xmlns="http://schemas.openxmlformats.org/spreadsheetml/2006/main" count="284" uniqueCount="105">
  <si>
    <t>Age</t>
  </si>
  <si>
    <t>IALM 2006-08</t>
  </si>
  <si>
    <t>IALM 2012-14</t>
  </si>
  <si>
    <t>Improvement</t>
  </si>
  <si>
    <t>Sign interpretation</t>
  </si>
  <si>
    <t>Row Labels</t>
  </si>
  <si>
    <t>Grand Total</t>
  </si>
  <si>
    <t>Average of Improvement</t>
  </si>
  <si>
    <t>0-9</t>
  </si>
  <si>
    <t>10-19</t>
  </si>
  <si>
    <t>20-29</t>
  </si>
  <si>
    <t>30-39</t>
  </si>
  <si>
    <t>40-49</t>
  </si>
  <si>
    <t>50-59</t>
  </si>
  <si>
    <t>60-69</t>
  </si>
  <si>
    <t>70-79</t>
  </si>
  <si>
    <t>80-89</t>
  </si>
  <si>
    <t>90-99</t>
  </si>
  <si>
    <t>100-109</t>
  </si>
  <si>
    <t>110-119</t>
  </si>
  <si>
    <t xml:space="preserve">Maximum Improvement </t>
  </si>
  <si>
    <t>Minimum Improvement</t>
  </si>
  <si>
    <t>The ages 0-9 show extremely large improvements and may distort averages due to
low mortality rates and differences in age definitions between the two investigations</t>
  </si>
  <si>
    <t>The more interesting ages for pricing are 20-70</t>
  </si>
  <si>
    <t>" + " = Improved</t>
  </si>
  <si>
    <t>" - " = Deteriorated</t>
  </si>
  <si>
    <t>Status</t>
  </si>
  <si>
    <t xml:space="preserve">Force </t>
  </si>
  <si>
    <t>IALM (2006-08)</t>
  </si>
  <si>
    <t>IALM (2012-14)</t>
  </si>
  <si>
    <t xml:space="preserve">Policyholder </t>
  </si>
  <si>
    <t>Product</t>
  </si>
  <si>
    <t>Term</t>
  </si>
  <si>
    <t>Benefit</t>
  </si>
  <si>
    <t>A</t>
  </si>
  <si>
    <t>B</t>
  </si>
  <si>
    <t>C</t>
  </si>
  <si>
    <t>Term Assurance</t>
  </si>
  <si>
    <t>Immediate</t>
  </si>
  <si>
    <t>For Policyholder A</t>
  </si>
  <si>
    <t>Year</t>
  </si>
  <si>
    <t>Age as per policy year</t>
  </si>
  <si>
    <t>Using Equivalence Principle, 
EPV Premium = EPV Benefit + EPV Expenses and Comission</t>
  </si>
  <si>
    <t>Mortality Table (IALM 2006-08)</t>
  </si>
  <si>
    <t>Premium</t>
  </si>
  <si>
    <t>Advance</t>
  </si>
  <si>
    <t>Discounting factor</t>
  </si>
  <si>
    <t>EPV</t>
  </si>
  <si>
    <t>Probability survival</t>
  </si>
  <si>
    <t>Term Assurance factor</t>
  </si>
  <si>
    <t>Mortality Table (IALM 2012-14)</t>
  </si>
  <si>
    <t>(underwriting expense + 
medical examination fee)</t>
  </si>
  <si>
    <t>per subsequent premium</t>
  </si>
  <si>
    <t>For Policyholder B</t>
  </si>
  <si>
    <t>For Policyholder C</t>
  </si>
  <si>
    <t>D</t>
  </si>
  <si>
    <t>E</t>
  </si>
  <si>
    <t>For Policyholder D</t>
  </si>
  <si>
    <t>For Policyholder E</t>
  </si>
  <si>
    <t>Sum Assured =</t>
  </si>
  <si>
    <t>Interest rate =</t>
  </si>
  <si>
    <t>Discount factor =</t>
  </si>
  <si>
    <t>Initial Expense =</t>
  </si>
  <si>
    <t>Renewal Expense =</t>
  </si>
  <si>
    <t>Initial Commission =</t>
  </si>
  <si>
    <t>Renewal Commission =</t>
  </si>
  <si>
    <t>Annuity Factor</t>
  </si>
  <si>
    <t>Term Assurance Factor</t>
  </si>
  <si>
    <t>EPV Benefit</t>
  </si>
  <si>
    <t>EPV Expenses</t>
  </si>
  <si>
    <t>EPV Commission</t>
  </si>
  <si>
    <t xml:space="preserve">Premium </t>
  </si>
  <si>
    <t>Using IALM 2006-08</t>
  </si>
  <si>
    <t>Using IALM 2012-14</t>
  </si>
  <si>
    <t>Policyholder</t>
  </si>
  <si>
    <t>Change %</t>
  </si>
  <si>
    <t>A (25)</t>
  </si>
  <si>
    <t>B (30)</t>
  </si>
  <si>
    <t>C (35)</t>
  </si>
  <si>
    <t>D (40)</t>
  </si>
  <si>
    <t>E (45)</t>
  </si>
  <si>
    <t>ΔP Benefit</t>
  </si>
  <si>
    <t>ΔP Denominator</t>
  </si>
  <si>
    <t>ΔP</t>
  </si>
  <si>
    <t>ΔP Renewal</t>
  </si>
  <si>
    <t>Residual</t>
  </si>
  <si>
    <t>% of Total</t>
  </si>
  <si>
    <t>Stress Factor</t>
  </si>
  <si>
    <t>&lt;- dropdown</t>
  </si>
  <si>
    <t>Annuity factor</t>
  </si>
  <si>
    <t>Assurance Factor</t>
  </si>
  <si>
    <t>Selected age</t>
  </si>
  <si>
    <t>vs Base Premium</t>
  </si>
  <si>
    <t>vs Base Premium %</t>
  </si>
  <si>
    <t>vs Base Premium (%)</t>
  </si>
  <si>
    <t>Stress rate</t>
  </si>
  <si>
    <t>Mortality Stress</t>
  </si>
  <si>
    <t>Interest rate 
stress</t>
  </si>
  <si>
    <t>Premium 
Calculation</t>
  </si>
  <si>
    <t>Base Premium rates</t>
  </si>
  <si>
    <t>Age =</t>
  </si>
  <si>
    <t>Stress factor =</t>
  </si>
  <si>
    <t>Interest =</t>
  </si>
  <si>
    <t>Mortality Improvement between IALM 2006-08 and IALM 2012-14 reduced gross
premiums by 6.1% to 9.3% across the entry ages 25-45. The reduction is largest at 
older entry ages, reflecting greater absolute mortality improvement at ages 40-45. 
Over 98.95% of premium reduction is attributable to the lower EPV of Benefit. 
Expense and denominator effects are negligible.</t>
  </si>
  <si>
    <r>
      <t xml:space="preserve">Premium sensitivity to a </t>
    </r>
    <r>
      <rPr>
        <sz val="11"/>
        <color theme="1"/>
        <rFont val="Calibri"/>
        <family val="2"/>
      </rPr>
      <t>±10%</t>
    </r>
    <r>
      <rPr>
        <sz val="11"/>
        <color theme="1"/>
        <rFont val="Calibri"/>
        <family val="2"/>
        <scheme val="minor"/>
      </rPr>
      <t xml:space="preserve"> mortality is approximately </t>
    </r>
    <r>
      <rPr>
        <sz val="11"/>
        <color theme="1"/>
        <rFont val="Calibri"/>
        <family val="2"/>
      </rPr>
      <t>±9%</t>
    </r>
    <r>
      <rPr>
        <sz val="11"/>
        <color theme="1"/>
        <rFont val="Calibri"/>
        <family val="2"/>
        <scheme val="minor"/>
      </rPr>
      <t xml:space="preserve"> across all ages. Interest rate sensitivity is lower - a </t>
    </r>
    <r>
      <rPr>
        <sz val="11"/>
        <color theme="1"/>
        <rFont val="Calibri"/>
        <family val="2"/>
      </rPr>
      <t>±1% shift in discount rate moves premium by less than ±</t>
    </r>
    <r>
      <rPr>
        <sz val="11"/>
        <color theme="1"/>
        <rFont val="Calibri"/>
        <family val="2"/>
        <scheme val="minor"/>
      </rPr>
      <t>0.2%. This confirms that mortality assumption risk dominates interest rate risk for short-term assurance pricing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</si>
</sst>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4" formatCode="_ &quot;₹&quot;\ * #,##0.00_ ;_ &quot;₹&quot;\ * \-#,##0.00_ ;_ &quot;₹&quot;\ * &quot;-&quot;??_ ;_ @_ "/>
    <numFmt numFmtId="164" formatCode="0.00000"/>
    <numFmt numFmtId="165" formatCode="0.0000"/>
    <numFmt numFmtId="166" formatCode="0.000000"/>
    <numFmt numFmtId="167" formatCode="&quot;₹&quot;\ #,##0.00"/>
    <numFmt numFmtId="168" formatCode="&quot;Stressed Premium&quot;"/>
    <numFmt numFmtId="169" formatCode="0.000"/>
    <numFmt numFmtId="170" formatCode="0.000000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theme="1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42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78">
    <xf numFmtId="0" fontId="0" fillId="0" borderId="0" xfId="0"/>
    <xf numFmtId="0" fontId="1" fillId="0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/>
    <xf numFmtId="0" fontId="1" fillId="0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164" fontId="0" fillId="5" borderId="3" xfId="0" applyNumberFormat="1" applyFill="1" applyBorder="1" applyAlignment="1">
      <alignment horizontal="center"/>
    </xf>
    <xf numFmtId="164" fontId="0" fillId="5" borderId="4" xfId="0" applyNumberFormat="1" applyFill="1" applyBorder="1" applyAlignment="1">
      <alignment horizontal="center"/>
    </xf>
    <xf numFmtId="164" fontId="0" fillId="5" borderId="12" xfId="0" applyNumberFormat="1" applyFill="1" applyBorder="1" applyAlignment="1">
      <alignment horizontal="center"/>
    </xf>
    <xf numFmtId="164" fontId="0" fillId="5" borderId="13" xfId="0" applyNumberForma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10" fontId="0" fillId="4" borderId="7" xfId="0" applyNumberFormat="1" applyFill="1" applyBorder="1" applyAlignment="1">
      <alignment horizontal="center"/>
    </xf>
    <xf numFmtId="10" fontId="0" fillId="4" borderId="8" xfId="0" applyNumberFormat="1" applyFill="1" applyBorder="1" applyAlignment="1">
      <alignment horizontal="center"/>
    </xf>
    <xf numFmtId="0" fontId="1" fillId="4" borderId="14" xfId="0" applyNumberFormat="1" applyFont="1" applyFill="1" applyBorder="1" applyAlignment="1">
      <alignment horizontal="center"/>
    </xf>
    <xf numFmtId="0" fontId="1" fillId="4" borderId="15" xfId="0" applyNumberFormat="1" applyFont="1" applyFill="1" applyBorder="1" applyAlignment="1">
      <alignment horizontal="center"/>
    </xf>
    <xf numFmtId="10" fontId="0" fillId="4" borderId="6" xfId="0" applyNumberFormat="1" applyFill="1" applyBorder="1" applyAlignment="1">
      <alignment horizontal="center"/>
    </xf>
    <xf numFmtId="10" fontId="0" fillId="7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10" fontId="0" fillId="0" borderId="0" xfId="0" applyNumberFormat="1" applyBorder="1" applyAlignment="1">
      <alignment horizontal="right"/>
    </xf>
    <xf numFmtId="0" fontId="0" fillId="0" borderId="16" xfId="0" applyBorder="1" applyAlignment="1">
      <alignment horizontal="center"/>
    </xf>
    <xf numFmtId="0" fontId="0" fillId="0" borderId="16" xfId="0" applyNumberFormat="1" applyBorder="1" applyAlignment="1">
      <alignment horizontal="right"/>
    </xf>
    <xf numFmtId="0" fontId="0" fillId="0" borderId="0" xfId="0" pivotButton="1" applyBorder="1" applyAlignment="1">
      <alignment horizontal="center"/>
    </xf>
    <xf numFmtId="0" fontId="0" fillId="0" borderId="16" xfId="0" applyBorder="1"/>
    <xf numFmtId="10" fontId="1" fillId="2" borderId="2" xfId="0" applyNumberFormat="1" applyFont="1" applyFill="1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1" fillId="0" borderId="0" xfId="0" applyFont="1"/>
    <xf numFmtId="0" fontId="6" fillId="11" borderId="32" xfId="0" applyFont="1" applyFill="1" applyBorder="1" applyAlignment="1">
      <alignment horizontal="center" vertical="center"/>
    </xf>
    <xf numFmtId="0" fontId="6" fillId="11" borderId="33" xfId="0" applyFont="1" applyFill="1" applyBorder="1" applyAlignment="1">
      <alignment horizontal="center" vertical="center"/>
    </xf>
    <xf numFmtId="0" fontId="4" fillId="11" borderId="32" xfId="0" applyFont="1" applyFill="1" applyBorder="1" applyAlignment="1">
      <alignment horizontal="center" vertical="center"/>
    </xf>
    <xf numFmtId="0" fontId="4" fillId="11" borderId="33" xfId="0" applyFont="1" applyFill="1" applyBorder="1" applyAlignment="1">
      <alignment horizontal="center" vertical="center"/>
    </xf>
    <xf numFmtId="0" fontId="0" fillId="11" borderId="20" xfId="0" applyFill="1" applyBorder="1"/>
    <xf numFmtId="0" fontId="0" fillId="11" borderId="17" xfId="0" applyFill="1" applyBorder="1"/>
    <xf numFmtId="0" fontId="0" fillId="11" borderId="32" xfId="0" applyFill="1" applyBorder="1"/>
    <xf numFmtId="0" fontId="0" fillId="11" borderId="33" xfId="0" applyFill="1" applyBorder="1"/>
    <xf numFmtId="0" fontId="1" fillId="11" borderId="32" xfId="0" applyFont="1" applyFill="1" applyBorder="1"/>
    <xf numFmtId="0" fontId="1" fillId="11" borderId="33" xfId="0" applyFont="1" applyFill="1" applyBorder="1"/>
    <xf numFmtId="167" fontId="0" fillId="11" borderId="3" xfId="0" applyNumberFormat="1" applyFill="1" applyBorder="1"/>
    <xf numFmtId="167" fontId="0" fillId="11" borderId="33" xfId="0" applyNumberFormat="1" applyFill="1" applyBorder="1"/>
    <xf numFmtId="166" fontId="0" fillId="11" borderId="22" xfId="0" applyNumberFormat="1" applyFill="1" applyBorder="1"/>
    <xf numFmtId="166" fontId="0" fillId="11" borderId="3" xfId="0" applyNumberFormat="1" applyFill="1" applyBorder="1"/>
    <xf numFmtId="164" fontId="0" fillId="11" borderId="22" xfId="0" applyNumberFormat="1" applyFill="1" applyBorder="1"/>
    <xf numFmtId="164" fontId="0" fillId="11" borderId="3" xfId="0" applyNumberFormat="1" applyFill="1" applyBorder="1"/>
    <xf numFmtId="0" fontId="7" fillId="11" borderId="17" xfId="0" applyFont="1" applyFill="1" applyBorder="1"/>
    <xf numFmtId="0" fontId="7" fillId="0" borderId="0" xfId="0" applyFont="1"/>
    <xf numFmtId="0" fontId="7" fillId="11" borderId="18" xfId="0" applyFont="1" applyFill="1" applyBorder="1"/>
    <xf numFmtId="0" fontId="1" fillId="12" borderId="2" xfId="0" applyFont="1" applyFill="1" applyBorder="1" applyAlignment="1">
      <alignment horizontal="center"/>
    </xf>
    <xf numFmtId="0" fontId="1" fillId="12" borderId="36" xfId="0" applyFont="1" applyFill="1" applyBorder="1" applyAlignment="1">
      <alignment horizontal="center"/>
    </xf>
    <xf numFmtId="0" fontId="1" fillId="12" borderId="24" xfId="0" applyFont="1" applyFill="1" applyBorder="1" applyAlignment="1">
      <alignment horizontal="center"/>
    </xf>
    <xf numFmtId="0" fontId="1" fillId="12" borderId="38" xfId="0" applyFont="1" applyFill="1" applyBorder="1" applyAlignment="1">
      <alignment horizontal="center"/>
    </xf>
    <xf numFmtId="0" fontId="1" fillId="12" borderId="14" xfId="0" applyFont="1" applyFill="1" applyBorder="1" applyAlignment="1">
      <alignment horizontal="center"/>
    </xf>
    <xf numFmtId="167" fontId="3" fillId="13" borderId="21" xfId="0" applyNumberFormat="1" applyFont="1" applyFill="1" applyBorder="1" applyAlignment="1">
      <alignment horizontal="center"/>
    </xf>
    <xf numFmtId="167" fontId="3" fillId="13" borderId="1" xfId="0" applyNumberFormat="1" applyFont="1" applyFill="1" applyBorder="1" applyAlignment="1">
      <alignment horizontal="center"/>
    </xf>
    <xf numFmtId="167" fontId="8" fillId="11" borderId="3" xfId="0" applyNumberFormat="1" applyFont="1" applyFill="1" applyBorder="1"/>
    <xf numFmtId="167" fontId="8" fillId="11" borderId="4" xfId="0" applyNumberFormat="1" applyFont="1" applyFill="1" applyBorder="1"/>
    <xf numFmtId="0" fontId="0" fillId="8" borderId="1" xfId="0" applyFont="1" applyFill="1" applyBorder="1" applyAlignment="1">
      <alignment horizontal="center"/>
    </xf>
    <xf numFmtId="164" fontId="0" fillId="8" borderId="1" xfId="0" applyNumberFormat="1" applyFont="1" applyFill="1" applyBorder="1" applyAlignment="1">
      <alignment horizontal="center"/>
    </xf>
    <xf numFmtId="2" fontId="0" fillId="8" borderId="1" xfId="0" applyNumberFormat="1" applyFont="1" applyFill="1" applyBorder="1" applyAlignment="1">
      <alignment horizontal="center"/>
    </xf>
    <xf numFmtId="0" fontId="0" fillId="9" borderId="1" xfId="0" applyFont="1" applyFill="1" applyBorder="1" applyAlignment="1">
      <alignment horizontal="center"/>
    </xf>
    <xf numFmtId="0" fontId="0" fillId="0" borderId="39" xfId="0" applyBorder="1"/>
    <xf numFmtId="167" fontId="9" fillId="13" borderId="37" xfId="0" applyNumberFormat="1" applyFont="1" applyFill="1" applyBorder="1" applyAlignment="1">
      <alignment horizontal="center"/>
    </xf>
    <xf numFmtId="167" fontId="9" fillId="13" borderId="21" xfId="0" applyNumberFormat="1" applyFont="1" applyFill="1" applyBorder="1" applyAlignment="1">
      <alignment horizontal="center"/>
    </xf>
    <xf numFmtId="167" fontId="9" fillId="13" borderId="12" xfId="0" applyNumberFormat="1" applyFont="1" applyFill="1" applyBorder="1" applyAlignment="1">
      <alignment horizontal="center"/>
    </xf>
    <xf numFmtId="167" fontId="9" fillId="13" borderId="1" xfId="0" applyNumberFormat="1" applyFont="1" applyFill="1" applyBorder="1" applyAlignment="1">
      <alignment horizontal="center"/>
    </xf>
    <xf numFmtId="0" fontId="0" fillId="0" borderId="0" xfId="0" applyFill="1" applyBorder="1" applyAlignment="1"/>
    <xf numFmtId="0" fontId="10" fillId="12" borderId="24" xfId="0" applyFont="1" applyFill="1" applyBorder="1" applyAlignment="1">
      <alignment horizontal="center"/>
    </xf>
    <xf numFmtId="10" fontId="3" fillId="13" borderId="1" xfId="0" applyNumberFormat="1" applyFont="1" applyFill="1" applyBorder="1" applyAlignment="1">
      <alignment horizontal="center"/>
    </xf>
    <xf numFmtId="10" fontId="3" fillId="13" borderId="21" xfId="0" applyNumberFormat="1" applyFont="1" applyFill="1" applyBorder="1" applyAlignment="1">
      <alignment horizontal="center"/>
    </xf>
    <xf numFmtId="10" fontId="0" fillId="0" borderId="0" xfId="0" applyNumberFormat="1" applyFill="1" applyBorder="1" applyAlignment="1"/>
    <xf numFmtId="167" fontId="0" fillId="13" borderId="3" xfId="0" applyNumberFormat="1" applyFill="1" applyBorder="1"/>
    <xf numFmtId="167" fontId="0" fillId="13" borderId="22" xfId="0" applyNumberFormat="1" applyFill="1" applyBorder="1"/>
    <xf numFmtId="0" fontId="10" fillId="12" borderId="25" xfId="0" applyFont="1" applyFill="1" applyBorder="1" applyAlignment="1">
      <alignment horizontal="center"/>
    </xf>
    <xf numFmtId="0" fontId="1" fillId="12" borderId="43" xfId="0" applyFont="1" applyFill="1" applyBorder="1" applyAlignment="1">
      <alignment horizontal="center"/>
    </xf>
    <xf numFmtId="167" fontId="9" fillId="13" borderId="40" xfId="0" applyNumberFormat="1" applyFont="1" applyFill="1" applyBorder="1" applyAlignment="1">
      <alignment horizontal="center"/>
    </xf>
    <xf numFmtId="167" fontId="9" fillId="13" borderId="41" xfId="0" applyNumberFormat="1" applyFont="1" applyFill="1" applyBorder="1" applyAlignment="1">
      <alignment horizontal="center"/>
    </xf>
    <xf numFmtId="167" fontId="3" fillId="13" borderId="41" xfId="0" applyNumberFormat="1" applyFont="1" applyFill="1" applyBorder="1" applyAlignment="1">
      <alignment horizontal="center"/>
    </xf>
    <xf numFmtId="10" fontId="3" fillId="13" borderId="41" xfId="0" applyNumberFormat="1" applyFont="1" applyFill="1" applyBorder="1" applyAlignment="1">
      <alignment horizontal="center"/>
    </xf>
    <xf numFmtId="167" fontId="0" fillId="13" borderId="44" xfId="0" applyNumberFormat="1" applyFill="1" applyBorder="1"/>
    <xf numFmtId="0" fontId="0" fillId="12" borderId="36" xfId="0" applyFill="1" applyBorder="1"/>
    <xf numFmtId="0" fontId="0" fillId="12" borderId="24" xfId="0" applyFill="1" applyBorder="1"/>
    <xf numFmtId="10" fontId="9" fillId="12" borderId="24" xfId="0" applyNumberFormat="1" applyFont="1" applyFill="1" applyBorder="1" applyAlignment="1">
      <alignment horizontal="center"/>
    </xf>
    <xf numFmtId="10" fontId="0" fillId="12" borderId="24" xfId="0" applyNumberFormat="1" applyFill="1" applyBorder="1"/>
    <xf numFmtId="10" fontId="0" fillId="12" borderId="25" xfId="0" applyNumberFormat="1" applyFill="1" applyBorder="1"/>
    <xf numFmtId="0" fontId="1" fillId="15" borderId="23" xfId="0" applyFont="1" applyFill="1" applyBorder="1" applyAlignment="1">
      <alignment horizontal="center"/>
    </xf>
    <xf numFmtId="0" fontId="1" fillId="15" borderId="24" xfId="0" applyFont="1" applyFill="1" applyBorder="1" applyAlignment="1">
      <alignment horizontal="center"/>
    </xf>
    <xf numFmtId="0" fontId="1" fillId="15" borderId="25" xfId="0" applyFont="1" applyFill="1" applyBorder="1" applyAlignment="1">
      <alignment horizontal="center"/>
    </xf>
    <xf numFmtId="44" fontId="0" fillId="8" borderId="0" xfId="0" applyNumberFormat="1" applyFill="1" applyBorder="1" applyAlignment="1">
      <alignment horizontal="right"/>
    </xf>
    <xf numFmtId="0" fontId="0" fillId="8" borderId="0" xfId="0" applyFill="1" applyBorder="1" applyAlignment="1">
      <alignment horizontal="right"/>
    </xf>
    <xf numFmtId="10" fontId="0" fillId="8" borderId="0" xfId="0" applyNumberFormat="1" applyFill="1" applyBorder="1" applyAlignment="1">
      <alignment horizontal="right"/>
    </xf>
    <xf numFmtId="165" fontId="0" fillId="8" borderId="0" xfId="0" applyNumberFormat="1" applyFill="1" applyBorder="1" applyAlignment="1">
      <alignment horizontal="right"/>
    </xf>
    <xf numFmtId="167" fontId="0" fillId="8" borderId="0" xfId="0" applyNumberFormat="1" applyFill="1" applyBorder="1" applyAlignment="1">
      <alignment horizontal="right"/>
    </xf>
    <xf numFmtId="167" fontId="0" fillId="8" borderId="16" xfId="0" applyNumberFormat="1" applyFill="1" applyBorder="1" applyAlignment="1">
      <alignment horizontal="right"/>
    </xf>
    <xf numFmtId="0" fontId="1" fillId="9" borderId="0" xfId="0" applyFont="1" applyFill="1" applyBorder="1" applyAlignment="1">
      <alignment horizontal="right"/>
    </xf>
    <xf numFmtId="0" fontId="1" fillId="9" borderId="16" xfId="0" applyFont="1" applyFill="1" applyBorder="1" applyAlignment="1">
      <alignment horizontal="right"/>
    </xf>
    <xf numFmtId="0" fontId="0" fillId="8" borderId="0" xfId="0" applyFill="1" applyAlignment="1">
      <alignment horizontal="left"/>
    </xf>
    <xf numFmtId="0" fontId="0" fillId="0" borderId="0" xfId="0" applyAlignment="1">
      <alignment horizontal="center" vertical="center"/>
    </xf>
    <xf numFmtId="167" fontId="0" fillId="0" borderId="0" xfId="0" applyNumberFormat="1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167" fontId="0" fillId="18" borderId="1" xfId="0" applyNumberFormat="1" applyFill="1" applyBorder="1" applyAlignment="1">
      <alignment horizontal="center"/>
    </xf>
    <xf numFmtId="0" fontId="1" fillId="17" borderId="17" xfId="0" applyFont="1" applyFill="1" applyBorder="1" applyAlignment="1">
      <alignment horizontal="center"/>
    </xf>
    <xf numFmtId="0" fontId="1" fillId="17" borderId="3" xfId="0" applyFont="1" applyFill="1" applyBorder="1" applyAlignment="1">
      <alignment horizontal="center"/>
    </xf>
    <xf numFmtId="0" fontId="0" fillId="19" borderId="17" xfId="0" applyFill="1" applyBorder="1" applyAlignment="1">
      <alignment horizontal="center"/>
    </xf>
    <xf numFmtId="167" fontId="0" fillId="19" borderId="3" xfId="0" applyNumberFormat="1" applyFill="1" applyBorder="1" applyAlignment="1">
      <alignment horizontal="center"/>
    </xf>
    <xf numFmtId="0" fontId="0" fillId="19" borderId="18" xfId="0" applyFill="1" applyBorder="1" applyAlignment="1">
      <alignment horizontal="center"/>
    </xf>
    <xf numFmtId="167" fontId="0" fillId="19" borderId="4" xfId="0" applyNumberFormat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10" fontId="0" fillId="4" borderId="1" xfId="0" applyNumberFormat="1" applyFill="1" applyBorder="1" applyAlignment="1">
      <alignment horizontal="center"/>
    </xf>
    <xf numFmtId="165" fontId="0" fillId="4" borderId="1" xfId="0" applyNumberFormat="1" applyFill="1" applyBorder="1" applyAlignment="1">
      <alignment horizontal="center"/>
    </xf>
    <xf numFmtId="0" fontId="1" fillId="4" borderId="1" xfId="0" applyFont="1" applyFill="1" applyBorder="1" applyAlignment="1">
      <alignment horizontal="right"/>
    </xf>
    <xf numFmtId="0" fontId="0" fillId="11" borderId="1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18" borderId="17" xfId="0" applyFill="1" applyBorder="1" applyAlignment="1">
      <alignment horizontal="center"/>
    </xf>
    <xf numFmtId="167" fontId="3" fillId="18" borderId="1" xfId="0" applyNumberFormat="1" applyFont="1" applyFill="1" applyBorder="1" applyAlignment="1">
      <alignment horizontal="center"/>
    </xf>
    <xf numFmtId="10" fontId="3" fillId="18" borderId="3" xfId="0" applyNumberFormat="1" applyFont="1" applyFill="1" applyBorder="1" applyAlignment="1">
      <alignment horizontal="center"/>
    </xf>
    <xf numFmtId="0" fontId="0" fillId="18" borderId="18" xfId="0" applyFill="1" applyBorder="1" applyAlignment="1">
      <alignment horizontal="center"/>
    </xf>
    <xf numFmtId="167" fontId="0" fillId="18" borderId="19" xfId="0" applyNumberFormat="1" applyFill="1" applyBorder="1" applyAlignment="1">
      <alignment horizontal="center"/>
    </xf>
    <xf numFmtId="167" fontId="3" fillId="18" borderId="19" xfId="0" applyNumberFormat="1" applyFont="1" applyFill="1" applyBorder="1" applyAlignment="1">
      <alignment horizontal="center"/>
    </xf>
    <xf numFmtId="10" fontId="3" fillId="18" borderId="4" xfId="0" applyNumberFormat="1" applyFont="1" applyFill="1" applyBorder="1" applyAlignment="1">
      <alignment horizontal="center"/>
    </xf>
    <xf numFmtId="0" fontId="1" fillId="18" borderId="46" xfId="0" applyFont="1" applyFill="1" applyBorder="1" applyAlignment="1">
      <alignment horizontal="center"/>
    </xf>
    <xf numFmtId="168" fontId="1" fillId="18" borderId="47" xfId="0" applyNumberFormat="1" applyFont="1" applyFill="1" applyBorder="1" applyAlignment="1">
      <alignment horizontal="center"/>
    </xf>
    <xf numFmtId="0" fontId="1" fillId="18" borderId="47" xfId="0" applyFont="1" applyFill="1" applyBorder="1" applyAlignment="1">
      <alignment horizontal="center"/>
    </xf>
    <xf numFmtId="0" fontId="1" fillId="18" borderId="48" xfId="0" applyFont="1" applyFill="1" applyBorder="1" applyAlignment="1">
      <alignment horizontal="center"/>
    </xf>
    <xf numFmtId="0" fontId="1" fillId="18" borderId="23" xfId="0" applyFont="1" applyFill="1" applyBorder="1" applyAlignment="1">
      <alignment horizontal="center"/>
    </xf>
    <xf numFmtId="168" fontId="1" fillId="18" borderId="24" xfId="0" applyNumberFormat="1" applyFont="1" applyFill="1" applyBorder="1" applyAlignment="1">
      <alignment horizontal="center"/>
    </xf>
    <xf numFmtId="0" fontId="1" fillId="18" borderId="24" xfId="0" applyFont="1" applyFill="1" applyBorder="1" applyAlignment="1">
      <alignment horizontal="center"/>
    </xf>
    <xf numFmtId="0" fontId="1" fillId="18" borderId="25" xfId="0" applyFont="1" applyFill="1" applyBorder="1" applyAlignment="1">
      <alignment horizontal="center"/>
    </xf>
    <xf numFmtId="10" fontId="0" fillId="18" borderId="46" xfId="0" applyNumberFormat="1" applyFill="1" applyBorder="1" applyAlignment="1">
      <alignment horizontal="center"/>
    </xf>
    <xf numFmtId="167" fontId="0" fillId="18" borderId="47" xfId="0" applyNumberFormat="1" applyFill="1" applyBorder="1" applyAlignment="1">
      <alignment horizontal="center"/>
    </xf>
    <xf numFmtId="167" fontId="3" fillId="18" borderId="47" xfId="0" applyNumberFormat="1" applyFont="1" applyFill="1" applyBorder="1" applyAlignment="1">
      <alignment horizontal="center"/>
    </xf>
    <xf numFmtId="10" fontId="3" fillId="18" borderId="48" xfId="0" applyNumberFormat="1" applyFont="1" applyFill="1" applyBorder="1" applyAlignment="1">
      <alignment horizontal="center"/>
    </xf>
    <xf numFmtId="9" fontId="0" fillId="18" borderId="17" xfId="0" applyNumberFormat="1" applyFill="1" applyBorder="1" applyAlignment="1">
      <alignment horizontal="center"/>
    </xf>
    <xf numFmtId="167" fontId="3" fillId="18" borderId="21" xfId="0" applyNumberFormat="1" applyFont="1" applyFill="1" applyBorder="1" applyAlignment="1">
      <alignment horizontal="center"/>
    </xf>
    <xf numFmtId="10" fontId="3" fillId="18" borderId="22" xfId="0" applyNumberFormat="1" applyFont="1" applyFill="1" applyBorder="1" applyAlignment="1">
      <alignment horizontal="center"/>
    </xf>
    <xf numFmtId="10" fontId="0" fillId="18" borderId="18" xfId="0" applyNumberFormat="1" applyFill="1" applyBorder="1" applyAlignment="1">
      <alignment horizontal="center"/>
    </xf>
    <xf numFmtId="167" fontId="3" fillId="18" borderId="49" xfId="0" applyNumberFormat="1" applyFont="1" applyFill="1" applyBorder="1" applyAlignment="1">
      <alignment horizontal="center"/>
    </xf>
    <xf numFmtId="10" fontId="3" fillId="18" borderId="50" xfId="0" applyNumberFormat="1" applyFont="1" applyFill="1" applyBorder="1" applyAlignment="1">
      <alignment horizontal="center"/>
    </xf>
    <xf numFmtId="0" fontId="0" fillId="18" borderId="47" xfId="0" applyFill="1" applyBorder="1" applyAlignment="1">
      <alignment horizontal="right"/>
    </xf>
    <xf numFmtId="164" fontId="0" fillId="18" borderId="48" xfId="0" applyNumberFormat="1" applyFill="1" applyBorder="1" applyAlignment="1">
      <alignment horizontal="center"/>
    </xf>
    <xf numFmtId="0" fontId="0" fillId="18" borderId="1" xfId="0" applyFill="1" applyBorder="1" applyAlignment="1">
      <alignment horizontal="right"/>
    </xf>
    <xf numFmtId="164" fontId="0" fillId="18" borderId="3" xfId="0" applyNumberFormat="1" applyFill="1" applyBorder="1" applyAlignment="1">
      <alignment horizontal="center"/>
    </xf>
    <xf numFmtId="0" fontId="0" fillId="18" borderId="3" xfId="0" applyFill="1" applyBorder="1" applyAlignment="1">
      <alignment horizontal="center"/>
    </xf>
    <xf numFmtId="167" fontId="0" fillId="18" borderId="3" xfId="0" applyNumberFormat="1" applyFill="1" applyBorder="1" applyAlignment="1">
      <alignment horizontal="center"/>
    </xf>
    <xf numFmtId="0" fontId="8" fillId="18" borderId="19" xfId="0" applyFont="1" applyFill="1" applyBorder="1" applyAlignment="1">
      <alignment horizontal="right"/>
    </xf>
    <xf numFmtId="167" fontId="8" fillId="18" borderId="4" xfId="0" applyNumberFormat="1" applyFont="1" applyFill="1" applyBorder="1" applyAlignment="1">
      <alignment horizontal="center"/>
    </xf>
    <xf numFmtId="0" fontId="1" fillId="20" borderId="23" xfId="0" applyFont="1" applyFill="1" applyBorder="1" applyAlignment="1">
      <alignment horizontal="center"/>
    </xf>
    <xf numFmtId="0" fontId="1" fillId="20" borderId="25" xfId="0" applyFont="1" applyFill="1" applyBorder="1" applyAlignment="1">
      <alignment horizontal="center"/>
    </xf>
    <xf numFmtId="0" fontId="0" fillId="21" borderId="1" xfId="0" applyFill="1" applyBorder="1" applyAlignment="1">
      <alignment horizontal="center" vertical="center"/>
    </xf>
    <xf numFmtId="0" fontId="0" fillId="21" borderId="1" xfId="0" applyFont="1" applyFill="1" applyBorder="1" applyAlignment="1">
      <alignment horizontal="center" vertical="center"/>
    </xf>
    <xf numFmtId="170" fontId="0" fillId="21" borderId="1" xfId="0" applyNumberFormat="1" applyFill="1" applyBorder="1" applyAlignment="1">
      <alignment horizontal="center" vertical="center"/>
    </xf>
    <xf numFmtId="2" fontId="0" fillId="21" borderId="1" xfId="0" applyNumberFormat="1" applyFill="1" applyBorder="1" applyAlignment="1">
      <alignment horizontal="center" vertical="center"/>
    </xf>
    <xf numFmtId="169" fontId="0" fillId="21" borderId="1" xfId="0" applyNumberFormat="1" applyFill="1" applyBorder="1" applyAlignment="1">
      <alignment horizontal="center" vertical="center"/>
    </xf>
    <xf numFmtId="164" fontId="0" fillId="21" borderId="1" xfId="0" applyNumberFormat="1" applyFill="1" applyBorder="1" applyAlignment="1">
      <alignment horizontal="center" vertical="center"/>
    </xf>
    <xf numFmtId="0" fontId="0" fillId="21" borderId="54" xfId="0" applyFill="1" applyBorder="1" applyAlignment="1">
      <alignment horizontal="center" vertical="center"/>
    </xf>
    <xf numFmtId="170" fontId="0" fillId="21" borderId="54" xfId="0" applyNumberFormat="1" applyFill="1" applyBorder="1" applyAlignment="1">
      <alignment horizontal="center" vertical="center"/>
    </xf>
    <xf numFmtId="2" fontId="0" fillId="21" borderId="54" xfId="0" applyNumberFormat="1" applyFill="1" applyBorder="1" applyAlignment="1">
      <alignment horizontal="center" vertical="center"/>
    </xf>
    <xf numFmtId="169" fontId="0" fillId="21" borderId="54" xfId="0" applyNumberFormat="1" applyFill="1" applyBorder="1" applyAlignment="1">
      <alignment horizontal="center" vertical="center"/>
    </xf>
    <xf numFmtId="164" fontId="0" fillId="21" borderId="54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0" fontId="0" fillId="11" borderId="20" xfId="0" applyFill="1" applyBorder="1" applyAlignment="1">
      <alignment horizontal="center"/>
    </xf>
    <xf numFmtId="0" fontId="0" fillId="11" borderId="21" xfId="0" applyFill="1" applyBorder="1" applyAlignment="1">
      <alignment horizontal="center"/>
    </xf>
    <xf numFmtId="0" fontId="0" fillId="11" borderId="22" xfId="0" applyFill="1" applyBorder="1" applyAlignment="1">
      <alignment horizontal="center"/>
    </xf>
    <xf numFmtId="0" fontId="0" fillId="13" borderId="17" xfId="0" applyFill="1" applyBorder="1" applyAlignment="1">
      <alignment horizontal="center"/>
    </xf>
    <xf numFmtId="0" fontId="0" fillId="13" borderId="3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22" borderId="1" xfId="0" applyFill="1" applyBorder="1" applyAlignment="1">
      <alignment horizontal="center"/>
    </xf>
    <xf numFmtId="0" fontId="0" fillId="8" borderId="17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22" borderId="18" xfId="0" applyFill="1" applyBorder="1" applyAlignment="1">
      <alignment horizontal="center"/>
    </xf>
    <xf numFmtId="0" fontId="0" fillId="22" borderId="19" xfId="0" applyFill="1" applyBorder="1" applyAlignment="1">
      <alignment horizontal="center"/>
    </xf>
    <xf numFmtId="0" fontId="0" fillId="22" borderId="4" xfId="0" applyFill="1" applyBorder="1" applyAlignment="1">
      <alignment horizontal="center"/>
    </xf>
    <xf numFmtId="0" fontId="0" fillId="11" borderId="1" xfId="0" applyFont="1" applyFill="1" applyBorder="1" applyAlignment="1">
      <alignment horizontal="center"/>
    </xf>
    <xf numFmtId="2" fontId="0" fillId="11" borderId="1" xfId="0" applyNumberFormat="1" applyFill="1" applyBorder="1" applyAlignment="1">
      <alignment horizontal="center"/>
    </xf>
    <xf numFmtId="166" fontId="0" fillId="11" borderId="1" xfId="0" applyNumberFormat="1" applyFill="1" applyBorder="1" applyAlignment="1">
      <alignment horizontal="center"/>
    </xf>
    <xf numFmtId="164" fontId="0" fillId="11" borderId="1" xfId="0" applyNumberFormat="1" applyFill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166" fontId="0" fillId="4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2" fontId="0" fillId="8" borderId="1" xfId="0" applyNumberFormat="1" applyFill="1" applyBorder="1" applyAlignment="1">
      <alignment horizontal="center"/>
    </xf>
    <xf numFmtId="166" fontId="0" fillId="8" borderId="1" xfId="0" applyNumberFormat="1" applyFill="1" applyBorder="1" applyAlignment="1">
      <alignment horizontal="center"/>
    </xf>
    <xf numFmtId="0" fontId="0" fillId="13" borderId="1" xfId="0" applyFont="1" applyFill="1" applyBorder="1" applyAlignment="1">
      <alignment horizontal="center"/>
    </xf>
    <xf numFmtId="2" fontId="0" fillId="13" borderId="1" xfId="0" applyNumberFormat="1" applyFill="1" applyBorder="1" applyAlignment="1">
      <alignment horizontal="center"/>
    </xf>
    <xf numFmtId="166" fontId="0" fillId="13" borderId="1" xfId="0" applyNumberFormat="1" applyFill="1" applyBorder="1" applyAlignment="1">
      <alignment horizontal="center"/>
    </xf>
    <xf numFmtId="164" fontId="0" fillId="13" borderId="1" xfId="0" applyNumberFormat="1" applyFill="1" applyBorder="1" applyAlignment="1">
      <alignment horizontal="center"/>
    </xf>
    <xf numFmtId="164" fontId="0" fillId="8" borderId="1" xfId="0" applyNumberFormat="1" applyFill="1" applyBorder="1" applyAlignment="1">
      <alignment horizontal="center"/>
    </xf>
    <xf numFmtId="0" fontId="0" fillId="22" borderId="1" xfId="0" applyFont="1" applyFill="1" applyBorder="1" applyAlignment="1">
      <alignment horizontal="center"/>
    </xf>
    <xf numFmtId="2" fontId="0" fillId="22" borderId="1" xfId="0" applyNumberFormat="1" applyFill="1" applyBorder="1" applyAlignment="1">
      <alignment horizontal="center"/>
    </xf>
    <xf numFmtId="166" fontId="0" fillId="22" borderId="1" xfId="0" applyNumberFormat="1" applyFill="1" applyBorder="1" applyAlignment="1">
      <alignment horizontal="center"/>
    </xf>
    <xf numFmtId="164" fontId="0" fillId="22" borderId="1" xfId="0" applyNumberFormat="1" applyFill="1" applyBorder="1" applyAlignment="1">
      <alignment horizontal="center"/>
    </xf>
    <xf numFmtId="0" fontId="7" fillId="18" borderId="17" xfId="0" applyFont="1" applyFill="1" applyBorder="1" applyAlignment="1">
      <alignment horizontal="center"/>
    </xf>
    <xf numFmtId="167" fontId="7" fillId="18" borderId="1" xfId="0" applyNumberFormat="1" applyFont="1" applyFill="1" applyBorder="1" applyAlignment="1">
      <alignment horizontal="center"/>
    </xf>
    <xf numFmtId="167" fontId="13" fillId="18" borderId="1" xfId="0" applyNumberFormat="1" applyFont="1" applyFill="1" applyBorder="1" applyAlignment="1">
      <alignment horizontal="center"/>
    </xf>
    <xf numFmtId="10" fontId="13" fillId="18" borderId="3" xfId="0" applyNumberFormat="1" applyFont="1" applyFill="1" applyBorder="1" applyAlignment="1">
      <alignment horizontal="center"/>
    </xf>
    <xf numFmtId="10" fontId="7" fillId="18" borderId="17" xfId="0" applyNumberFormat="1" applyFont="1" applyFill="1" applyBorder="1" applyAlignment="1">
      <alignment horizontal="center"/>
    </xf>
    <xf numFmtId="167" fontId="13" fillId="18" borderId="21" xfId="0" applyNumberFormat="1" applyFont="1" applyFill="1" applyBorder="1" applyAlignment="1">
      <alignment horizontal="center"/>
    </xf>
    <xf numFmtId="10" fontId="13" fillId="18" borderId="22" xfId="0" applyNumberFormat="1" applyFont="1" applyFill="1" applyBorder="1" applyAlignment="1">
      <alignment horizontal="center"/>
    </xf>
    <xf numFmtId="10" fontId="0" fillId="13" borderId="21" xfId="0" applyNumberFormat="1" applyFill="1" applyBorder="1"/>
    <xf numFmtId="10" fontId="0" fillId="13" borderId="1" xfId="0" applyNumberFormat="1" applyFill="1" applyBorder="1"/>
    <xf numFmtId="10" fontId="0" fillId="13" borderId="41" xfId="0" applyNumberFormat="1" applyFill="1" applyBorder="1"/>
    <xf numFmtId="165" fontId="0" fillId="13" borderId="21" xfId="0" applyNumberFormat="1" applyFill="1" applyBorder="1"/>
    <xf numFmtId="165" fontId="0" fillId="13" borderId="1" xfId="0" applyNumberFormat="1" applyFill="1" applyBorder="1"/>
    <xf numFmtId="165" fontId="0" fillId="13" borderId="41" xfId="0" applyNumberFormat="1" applyFill="1" applyBorder="1"/>
    <xf numFmtId="2" fontId="0" fillId="13" borderId="21" xfId="0" applyNumberFormat="1" applyFill="1" applyBorder="1"/>
    <xf numFmtId="2" fontId="0" fillId="13" borderId="1" xfId="0" applyNumberFormat="1" applyFill="1" applyBorder="1"/>
    <xf numFmtId="2" fontId="0" fillId="13" borderId="41" xfId="0" applyNumberFormat="1" applyFill="1" applyBorder="1"/>
    <xf numFmtId="164" fontId="0" fillId="22" borderId="1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6" borderId="0" xfId="0" applyFill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1" fillId="22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0" fillId="8" borderId="0" xfId="0" applyFill="1" applyBorder="1" applyAlignment="1">
      <alignment horizontal="left" wrapText="1"/>
    </xf>
    <xf numFmtId="0" fontId="0" fillId="8" borderId="0" xfId="0" applyFill="1" applyAlignment="1">
      <alignment horizontal="left"/>
    </xf>
    <xf numFmtId="0" fontId="0" fillId="8" borderId="16" xfId="0" applyFill="1" applyBorder="1" applyAlignment="1">
      <alignment horizontal="left"/>
    </xf>
    <xf numFmtId="0" fontId="0" fillId="8" borderId="29" xfId="0" applyFill="1" applyBorder="1" applyAlignment="1">
      <alignment horizontal="left"/>
    </xf>
    <xf numFmtId="0" fontId="5" fillId="5" borderId="23" xfId="0" applyFont="1" applyFill="1" applyBorder="1" applyAlignment="1">
      <alignment horizontal="center"/>
    </xf>
    <xf numFmtId="0" fontId="5" fillId="5" borderId="25" xfId="0" applyFont="1" applyFill="1" applyBorder="1" applyAlignment="1">
      <alignment horizontal="center"/>
    </xf>
    <xf numFmtId="0" fontId="6" fillId="3" borderId="30" xfId="0" applyFont="1" applyFill="1" applyBorder="1" applyAlignment="1">
      <alignment horizontal="center" vertical="center"/>
    </xf>
    <xf numFmtId="0" fontId="6" fillId="3" borderId="31" xfId="0" applyFont="1" applyFill="1" applyBorder="1" applyAlignment="1">
      <alignment horizontal="center" vertical="center"/>
    </xf>
    <xf numFmtId="0" fontId="6" fillId="3" borderId="34" xfId="0" applyFont="1" applyFill="1" applyBorder="1" applyAlignment="1">
      <alignment horizontal="center" vertical="center"/>
    </xf>
    <xf numFmtId="0" fontId="6" fillId="3" borderId="35" xfId="0" applyFont="1" applyFill="1" applyBorder="1" applyAlignment="1">
      <alignment horizontal="center" vertical="center"/>
    </xf>
    <xf numFmtId="0" fontId="0" fillId="14" borderId="30" xfId="0" applyFill="1" applyBorder="1" applyAlignment="1">
      <alignment horizontal="center"/>
    </xf>
    <xf numFmtId="0" fontId="0" fillId="14" borderId="45" xfId="0" applyFill="1" applyBorder="1" applyAlignment="1">
      <alignment horizontal="center"/>
    </xf>
    <xf numFmtId="0" fontId="0" fillId="14" borderId="31" xfId="0" applyFill="1" applyBorder="1" applyAlignment="1">
      <alignment horizontal="center"/>
    </xf>
    <xf numFmtId="0" fontId="0" fillId="14" borderId="32" xfId="0" applyFill="1" applyBorder="1" applyAlignment="1">
      <alignment horizontal="center"/>
    </xf>
    <xf numFmtId="0" fontId="0" fillId="14" borderId="0" xfId="0" applyFill="1" applyBorder="1" applyAlignment="1">
      <alignment horizontal="center"/>
    </xf>
    <xf numFmtId="0" fontId="0" fillId="14" borderId="33" xfId="0" applyFill="1" applyBorder="1" applyAlignment="1">
      <alignment horizontal="center"/>
    </xf>
    <xf numFmtId="0" fontId="0" fillId="14" borderId="34" xfId="0" applyFill="1" applyBorder="1" applyAlignment="1">
      <alignment horizontal="center"/>
    </xf>
    <xf numFmtId="0" fontId="0" fillId="14" borderId="42" xfId="0" applyFill="1" applyBorder="1" applyAlignment="1">
      <alignment horizontal="center"/>
    </xf>
    <xf numFmtId="0" fontId="0" fillId="14" borderId="35" xfId="0" applyFill="1" applyBorder="1" applyAlignment="1">
      <alignment horizontal="center"/>
    </xf>
    <xf numFmtId="0" fontId="1" fillId="10" borderId="23" xfId="0" applyFont="1" applyFill="1" applyBorder="1" applyAlignment="1">
      <alignment horizontal="center"/>
    </xf>
    <xf numFmtId="0" fontId="1" fillId="10" borderId="24" xfId="0" applyFont="1" applyFill="1" applyBorder="1" applyAlignment="1">
      <alignment horizontal="center"/>
    </xf>
    <xf numFmtId="0" fontId="1" fillId="10" borderId="25" xfId="0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16" borderId="46" xfId="0" applyFont="1" applyFill="1" applyBorder="1" applyAlignment="1">
      <alignment horizontal="center"/>
    </xf>
    <xf numFmtId="0" fontId="1" fillId="16" borderId="48" xfId="0" applyFont="1" applyFill="1" applyBorder="1" applyAlignment="1">
      <alignment horizontal="center"/>
    </xf>
    <xf numFmtId="0" fontId="1" fillId="21" borderId="21" xfId="0" applyFont="1" applyFill="1" applyBorder="1" applyAlignment="1">
      <alignment horizontal="center" vertical="center"/>
    </xf>
    <xf numFmtId="0" fontId="0" fillId="7" borderId="30" xfId="0" applyFill="1" applyBorder="1" applyAlignment="1">
      <alignment horizontal="center"/>
    </xf>
    <xf numFmtId="0" fontId="0" fillId="7" borderId="45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32" xfId="0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0" fontId="0" fillId="7" borderId="33" xfId="0" applyFill="1" applyBorder="1" applyAlignment="1">
      <alignment horizontal="center"/>
    </xf>
    <xf numFmtId="0" fontId="0" fillId="7" borderId="34" xfId="0" applyFill="1" applyBorder="1" applyAlignment="1">
      <alignment horizontal="center"/>
    </xf>
    <xf numFmtId="0" fontId="0" fillId="7" borderId="42" xfId="0" applyFill="1" applyBorder="1" applyAlignment="1">
      <alignment horizontal="center"/>
    </xf>
    <xf numFmtId="0" fontId="0" fillId="7" borderId="35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11" fillId="18" borderId="46" xfId="0" applyFont="1" applyFill="1" applyBorder="1" applyAlignment="1">
      <alignment horizontal="center" vertical="center" textRotation="90" wrapText="1"/>
    </xf>
    <xf numFmtId="0" fontId="11" fillId="18" borderId="17" xfId="0" applyFont="1" applyFill="1" applyBorder="1" applyAlignment="1">
      <alignment horizontal="center" vertical="center" textRotation="90"/>
    </xf>
    <xf numFmtId="0" fontId="11" fillId="18" borderId="18" xfId="0" applyFont="1" applyFill="1" applyBorder="1" applyAlignment="1">
      <alignment horizontal="center" vertical="center" textRotation="90"/>
    </xf>
    <xf numFmtId="0" fontId="11" fillId="18" borderId="51" xfId="0" applyFont="1" applyFill="1" applyBorder="1" applyAlignment="1">
      <alignment horizontal="center" vertical="center" textRotation="90"/>
    </xf>
    <xf numFmtId="0" fontId="11" fillId="18" borderId="52" xfId="0" applyFont="1" applyFill="1" applyBorder="1" applyAlignment="1">
      <alignment horizontal="center" vertical="center" textRotation="90"/>
    </xf>
    <xf numFmtId="0" fontId="11" fillId="18" borderId="53" xfId="0" applyFont="1" applyFill="1" applyBorder="1" applyAlignment="1">
      <alignment horizontal="center" vertical="center" textRotation="90"/>
    </xf>
    <xf numFmtId="0" fontId="12" fillId="18" borderId="51" xfId="0" applyFont="1" applyFill="1" applyBorder="1" applyAlignment="1">
      <alignment horizontal="center" vertical="center" textRotation="90" wrapText="1"/>
    </xf>
    <xf numFmtId="0" fontId="12" fillId="18" borderId="52" xfId="0" applyFont="1" applyFill="1" applyBorder="1" applyAlignment="1">
      <alignment horizontal="center" vertical="center" textRotation="90"/>
    </xf>
    <xf numFmtId="0" fontId="12" fillId="18" borderId="53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24"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alignment horizontal="right" readingOrder="0"/>
    </dxf>
    <dxf>
      <alignment horizontal="left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numFmt numFmtId="14" formatCode="0.00%"/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IALM 2006-08 vs IALM 2012-14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'IALM Comparison'!$C$4</c:f>
              <c:strCache>
                <c:ptCount val="1"/>
                <c:pt idx="0">
                  <c:v>IALM 2006-08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'IALM Comparison'!$B$5:$B$118</c:f>
              <c:numCache>
                <c:formatCode>General</c:formatCode>
                <c:ptCount val="11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61</c:v>
                </c:pt>
                <c:pt idx="60">
                  <c:v>62</c:v>
                </c:pt>
                <c:pt idx="61">
                  <c:v>63</c:v>
                </c:pt>
                <c:pt idx="62">
                  <c:v>64</c:v>
                </c:pt>
                <c:pt idx="63">
                  <c:v>65</c:v>
                </c:pt>
                <c:pt idx="64">
                  <c:v>66</c:v>
                </c:pt>
                <c:pt idx="65">
                  <c:v>67</c:v>
                </c:pt>
                <c:pt idx="66">
                  <c:v>68</c:v>
                </c:pt>
                <c:pt idx="67">
                  <c:v>69</c:v>
                </c:pt>
                <c:pt idx="68">
                  <c:v>70</c:v>
                </c:pt>
                <c:pt idx="69">
                  <c:v>71</c:v>
                </c:pt>
                <c:pt idx="70">
                  <c:v>72</c:v>
                </c:pt>
                <c:pt idx="71">
                  <c:v>73</c:v>
                </c:pt>
                <c:pt idx="72">
                  <c:v>74</c:v>
                </c:pt>
                <c:pt idx="73">
                  <c:v>75</c:v>
                </c:pt>
                <c:pt idx="74">
                  <c:v>76</c:v>
                </c:pt>
                <c:pt idx="75">
                  <c:v>77</c:v>
                </c:pt>
                <c:pt idx="76">
                  <c:v>78</c:v>
                </c:pt>
                <c:pt idx="77">
                  <c:v>79</c:v>
                </c:pt>
                <c:pt idx="78">
                  <c:v>80</c:v>
                </c:pt>
                <c:pt idx="79">
                  <c:v>81</c:v>
                </c:pt>
                <c:pt idx="80">
                  <c:v>82</c:v>
                </c:pt>
                <c:pt idx="81">
                  <c:v>83</c:v>
                </c:pt>
                <c:pt idx="82">
                  <c:v>84</c:v>
                </c:pt>
                <c:pt idx="83">
                  <c:v>85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</c:numCache>
            </c:numRef>
          </c:cat>
          <c:val>
            <c:numRef>
              <c:f>'IALM Comparison'!$C$5:$C$118</c:f>
              <c:numCache>
                <c:formatCode>0.00000</c:formatCode>
                <c:ptCount val="114"/>
                <c:pt idx="0">
                  <c:v>2.9350000000000001E-3</c:v>
                </c:pt>
                <c:pt idx="1">
                  <c:v>2.212E-3</c:v>
                </c:pt>
                <c:pt idx="2">
                  <c:v>1.67E-3</c:v>
                </c:pt>
                <c:pt idx="3">
                  <c:v>1.2650000000000001E-3</c:v>
                </c:pt>
                <c:pt idx="4">
                  <c:v>9.6400000000000001E-4</c:v>
                </c:pt>
                <c:pt idx="5">
                  <c:v>7.4399999999999998E-4</c:v>
                </c:pt>
                <c:pt idx="6">
                  <c:v>5.9000000000000003E-4</c:v>
                </c:pt>
                <c:pt idx="7">
                  <c:v>4.9200000000000003E-4</c:v>
                </c:pt>
                <c:pt idx="8">
                  <c:v>4.4000000000000002E-4</c:v>
                </c:pt>
                <c:pt idx="9">
                  <c:v>4.28E-4</c:v>
                </c:pt>
                <c:pt idx="10">
                  <c:v>4.4799999999999999E-4</c:v>
                </c:pt>
                <c:pt idx="11">
                  <c:v>4.9100000000000001E-4</c:v>
                </c:pt>
                <c:pt idx="12">
                  <c:v>5.4900000000000001E-4</c:v>
                </c:pt>
                <c:pt idx="13">
                  <c:v>6.1399999999999996E-4</c:v>
                </c:pt>
                <c:pt idx="14">
                  <c:v>6.8000000000000005E-4</c:v>
                </c:pt>
                <c:pt idx="15">
                  <c:v>7.4299999999999995E-4</c:v>
                </c:pt>
                <c:pt idx="16">
                  <c:v>8.0000000000000004E-4</c:v>
                </c:pt>
                <c:pt idx="17">
                  <c:v>8.4800000000000001E-4</c:v>
                </c:pt>
                <c:pt idx="18">
                  <c:v>8.8800000000000001E-4</c:v>
                </c:pt>
                <c:pt idx="19">
                  <c:v>9.19E-4</c:v>
                </c:pt>
                <c:pt idx="20">
                  <c:v>9.4300000000000004E-4</c:v>
                </c:pt>
                <c:pt idx="21">
                  <c:v>9.6100000000000005E-4</c:v>
                </c:pt>
                <c:pt idx="22">
                  <c:v>9.7400000000000004E-4</c:v>
                </c:pt>
                <c:pt idx="23">
                  <c:v>9.8400000000000007E-4</c:v>
                </c:pt>
                <c:pt idx="24">
                  <c:v>9.9400000000000009E-4</c:v>
                </c:pt>
                <c:pt idx="25">
                  <c:v>1.0039999999999999E-3</c:v>
                </c:pt>
                <c:pt idx="26">
                  <c:v>1.0169999999999999E-3</c:v>
                </c:pt>
                <c:pt idx="27">
                  <c:v>1.034E-3</c:v>
                </c:pt>
                <c:pt idx="28">
                  <c:v>1.0560000000000001E-3</c:v>
                </c:pt>
                <c:pt idx="29">
                  <c:v>1.0839999999999999E-3</c:v>
                </c:pt>
                <c:pt idx="30">
                  <c:v>1.119E-3</c:v>
                </c:pt>
                <c:pt idx="31">
                  <c:v>1.1640000000000001E-3</c:v>
                </c:pt>
                <c:pt idx="32">
                  <c:v>1.2179999999999999E-3</c:v>
                </c:pt>
                <c:pt idx="33">
                  <c:v>1.2819999999999999E-3</c:v>
                </c:pt>
                <c:pt idx="34">
                  <c:v>1.358E-3</c:v>
                </c:pt>
                <c:pt idx="35">
                  <c:v>1.4469999999999999E-3</c:v>
                </c:pt>
                <c:pt idx="36">
                  <c:v>1.549E-3</c:v>
                </c:pt>
                <c:pt idx="37">
                  <c:v>1.6670000000000001E-3</c:v>
                </c:pt>
                <c:pt idx="38">
                  <c:v>1.8029999999999999E-3</c:v>
                </c:pt>
                <c:pt idx="39">
                  <c:v>1.9589999999999998E-3</c:v>
                </c:pt>
                <c:pt idx="40">
                  <c:v>2.14E-3</c:v>
                </c:pt>
                <c:pt idx="41">
                  <c:v>2.3500000000000001E-3</c:v>
                </c:pt>
                <c:pt idx="42">
                  <c:v>2.5929999999999998E-3</c:v>
                </c:pt>
                <c:pt idx="43">
                  <c:v>2.8739999999999998E-3</c:v>
                </c:pt>
                <c:pt idx="44">
                  <c:v>3.1970000000000002E-3</c:v>
                </c:pt>
                <c:pt idx="45">
                  <c:v>3.5669999999999999E-3</c:v>
                </c:pt>
                <c:pt idx="46">
                  <c:v>3.9830000000000004E-3</c:v>
                </c:pt>
                <c:pt idx="47">
                  <c:v>4.444E-3</c:v>
                </c:pt>
                <c:pt idx="48">
                  <c:v>4.9459999999999999E-3</c:v>
                </c:pt>
                <c:pt idx="49">
                  <c:v>5.483E-3</c:v>
                </c:pt>
                <c:pt idx="50">
                  <c:v>6.051E-3</c:v>
                </c:pt>
                <c:pt idx="51">
                  <c:v>6.6429999999999996E-3</c:v>
                </c:pt>
                <c:pt idx="52">
                  <c:v>7.2560000000000003E-3</c:v>
                </c:pt>
                <c:pt idx="53">
                  <c:v>7.8879999999999992E-3</c:v>
                </c:pt>
                <c:pt idx="54">
                  <c:v>8.5430000000000002E-3</c:v>
                </c:pt>
                <c:pt idx="55">
                  <c:v>9.2250000000000006E-3</c:v>
                </c:pt>
                <c:pt idx="56">
                  <c:v>9.9439999999999997E-3</c:v>
                </c:pt>
                <c:pt idx="57">
                  <c:v>1.0709E-2</c:v>
                </c:pt>
                <c:pt idx="58">
                  <c:v>1.1534000000000001E-2</c:v>
                </c:pt>
                <c:pt idx="59">
                  <c:v>1.2430999999999999E-2</c:v>
                </c:pt>
                <c:pt idx="60">
                  <c:v>1.3414000000000001E-2</c:v>
                </c:pt>
                <c:pt idx="61">
                  <c:v>1.4496999999999999E-2</c:v>
                </c:pt>
                <c:pt idx="62">
                  <c:v>1.5691E-2</c:v>
                </c:pt>
                <c:pt idx="63">
                  <c:v>1.7009E-2</c:v>
                </c:pt>
                <c:pt idx="64">
                  <c:v>1.8461999999999999E-2</c:v>
                </c:pt>
                <c:pt idx="65">
                  <c:v>2.0060999999999999E-2</c:v>
                </c:pt>
                <c:pt idx="66">
                  <c:v>2.1819000000000002E-2</c:v>
                </c:pt>
                <c:pt idx="67">
                  <c:v>2.3746E-2</c:v>
                </c:pt>
                <c:pt idx="68">
                  <c:v>2.5855E-2</c:v>
                </c:pt>
                <c:pt idx="69">
                  <c:v>2.8159E-2</c:v>
                </c:pt>
                <c:pt idx="70">
                  <c:v>3.0672999999999999E-2</c:v>
                </c:pt>
                <c:pt idx="71">
                  <c:v>3.3411999999999997E-2</c:v>
                </c:pt>
                <c:pt idx="72">
                  <c:v>3.6394000000000003E-2</c:v>
                </c:pt>
                <c:pt idx="73">
                  <c:v>3.9636999999999999E-2</c:v>
                </c:pt>
                <c:pt idx="74">
                  <c:v>4.3161999999999999E-2</c:v>
                </c:pt>
                <c:pt idx="75">
                  <c:v>4.6990999999999998E-2</c:v>
                </c:pt>
                <c:pt idx="76">
                  <c:v>5.1149E-2</c:v>
                </c:pt>
                <c:pt idx="77">
                  <c:v>5.5662000000000003E-2</c:v>
                </c:pt>
                <c:pt idx="78">
                  <c:v>6.0558000000000001E-2</c:v>
                </c:pt>
                <c:pt idx="79">
                  <c:v>6.5869999999999998E-2</c:v>
                </c:pt>
                <c:pt idx="80">
                  <c:v>7.1629999999999999E-2</c:v>
                </c:pt>
                <c:pt idx="81">
                  <c:v>7.7876000000000001E-2</c:v>
                </c:pt>
                <c:pt idx="82">
                  <c:v>8.4644999999999998E-2</c:v>
                </c:pt>
                <c:pt idx="83">
                  <c:v>9.1981999999999994E-2</c:v>
                </c:pt>
                <c:pt idx="84">
                  <c:v>9.9930000000000005E-2</c:v>
                </c:pt>
                <c:pt idx="85">
                  <c:v>0.10854</c:v>
                </c:pt>
                <c:pt idx="86">
                  <c:v>0.117866</c:v>
                </c:pt>
                <c:pt idx="87">
                  <c:v>0.12796299999999999</c:v>
                </c:pt>
                <c:pt idx="88">
                  <c:v>0.13889499999999999</c:v>
                </c:pt>
                <c:pt idx="89">
                  <c:v>0.150727</c:v>
                </c:pt>
                <c:pt idx="90">
                  <c:v>0.16353200000000001</c:v>
                </c:pt>
                <c:pt idx="91">
                  <c:v>0.17738699999999999</c:v>
                </c:pt>
                <c:pt idx="92">
                  <c:v>0.19237399999999999</c:v>
                </c:pt>
                <c:pt idx="93">
                  <c:v>0.20858499999999999</c:v>
                </c:pt>
                <c:pt idx="94">
                  <c:v>0.22611400000000001</c:v>
                </c:pt>
                <c:pt idx="95">
                  <c:v>0.24506700000000001</c:v>
                </c:pt>
                <c:pt idx="96">
                  <c:v>0.26555499999999999</c:v>
                </c:pt>
                <c:pt idx="97">
                  <c:v>0.28769899999999998</c:v>
                </c:pt>
                <c:pt idx="98">
                  <c:v>0.31162800000000002</c:v>
                </c:pt>
                <c:pt idx="99">
                  <c:v>0.337482</c:v>
                </c:pt>
                <c:pt idx="100">
                  <c:v>0.36541099999999999</c:v>
                </c:pt>
                <c:pt idx="101">
                  <c:v>0.39557700000000001</c:v>
                </c:pt>
                <c:pt idx="102">
                  <c:v>0.42815300000000001</c:v>
                </c:pt>
                <c:pt idx="103">
                  <c:v>0.46332699999999999</c:v>
                </c:pt>
                <c:pt idx="104">
                  <c:v>0.50129800000000002</c:v>
                </c:pt>
                <c:pt idx="105">
                  <c:v>0.54228399999999999</c:v>
                </c:pt>
                <c:pt idx="106">
                  <c:v>0.58651600000000004</c:v>
                </c:pt>
                <c:pt idx="107">
                  <c:v>0.63424400000000003</c:v>
                </c:pt>
                <c:pt idx="108">
                  <c:v>0.68573700000000004</c:v>
                </c:pt>
                <c:pt idx="109">
                  <c:v>0.74128300000000003</c:v>
                </c:pt>
                <c:pt idx="110">
                  <c:v>0.80119099999999999</c:v>
                </c:pt>
                <c:pt idx="111">
                  <c:v>0.86579499999999998</c:v>
                </c:pt>
                <c:pt idx="112">
                  <c:v>0.93545299999999998</c:v>
                </c:pt>
                <c:pt idx="113">
                  <c:v>0.98579600000000001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79-409B-A8E7-2F323C0CC189}"/>
            </c:ext>
          </c:extLst>
        </c:ser>
        <c:ser>
          <c:idx val="1"/>
          <c:order val="1"/>
          <c:tx>
            <c:strRef>
              <c:f>'IALM Comparison'!$D$4</c:f>
              <c:strCache>
                <c:ptCount val="1"/>
                <c:pt idx="0">
                  <c:v>IALM 2012-14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'IALM Comparison'!$B$5:$B$118</c:f>
              <c:numCache>
                <c:formatCode>General</c:formatCode>
                <c:ptCount val="11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61</c:v>
                </c:pt>
                <c:pt idx="60">
                  <c:v>62</c:v>
                </c:pt>
                <c:pt idx="61">
                  <c:v>63</c:v>
                </c:pt>
                <c:pt idx="62">
                  <c:v>64</c:v>
                </c:pt>
                <c:pt idx="63">
                  <c:v>65</c:v>
                </c:pt>
                <c:pt idx="64">
                  <c:v>66</c:v>
                </c:pt>
                <c:pt idx="65">
                  <c:v>67</c:v>
                </c:pt>
                <c:pt idx="66">
                  <c:v>68</c:v>
                </c:pt>
                <c:pt idx="67">
                  <c:v>69</c:v>
                </c:pt>
                <c:pt idx="68">
                  <c:v>70</c:v>
                </c:pt>
                <c:pt idx="69">
                  <c:v>71</c:v>
                </c:pt>
                <c:pt idx="70">
                  <c:v>72</c:v>
                </c:pt>
                <c:pt idx="71">
                  <c:v>73</c:v>
                </c:pt>
                <c:pt idx="72">
                  <c:v>74</c:v>
                </c:pt>
                <c:pt idx="73">
                  <c:v>75</c:v>
                </c:pt>
                <c:pt idx="74">
                  <c:v>76</c:v>
                </c:pt>
                <c:pt idx="75">
                  <c:v>77</c:v>
                </c:pt>
                <c:pt idx="76">
                  <c:v>78</c:v>
                </c:pt>
                <c:pt idx="77">
                  <c:v>79</c:v>
                </c:pt>
                <c:pt idx="78">
                  <c:v>80</c:v>
                </c:pt>
                <c:pt idx="79">
                  <c:v>81</c:v>
                </c:pt>
                <c:pt idx="80">
                  <c:v>82</c:v>
                </c:pt>
                <c:pt idx="81">
                  <c:v>83</c:v>
                </c:pt>
                <c:pt idx="82">
                  <c:v>84</c:v>
                </c:pt>
                <c:pt idx="83">
                  <c:v>85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</c:numCache>
            </c:numRef>
          </c:cat>
          <c:val>
            <c:numRef>
              <c:f>'IALM Comparison'!$D$5:$D$118</c:f>
              <c:numCache>
                <c:formatCode>0.00000</c:formatCode>
                <c:ptCount val="114"/>
                <c:pt idx="0">
                  <c:v>9.1500000000000001E-4</c:v>
                </c:pt>
                <c:pt idx="1">
                  <c:v>4.6999999999999999E-4</c:v>
                </c:pt>
                <c:pt idx="2">
                  <c:v>2.7099999999999997E-4</c:v>
                </c:pt>
                <c:pt idx="3">
                  <c:v>1.85E-4</c:v>
                </c:pt>
                <c:pt idx="4">
                  <c:v>1.5200000000000001E-4</c:v>
                </c:pt>
                <c:pt idx="5">
                  <c:v>1.4899999999999999E-4</c:v>
                </c:pt>
                <c:pt idx="6">
                  <c:v>1.6699999999999999E-4</c:v>
                </c:pt>
                <c:pt idx="7">
                  <c:v>2.0599999999999999E-4</c:v>
                </c:pt>
                <c:pt idx="8">
                  <c:v>2.6499999999999999E-4</c:v>
                </c:pt>
                <c:pt idx="9">
                  <c:v>3.4099999999999999E-4</c:v>
                </c:pt>
                <c:pt idx="10">
                  <c:v>4.2900000000000002E-4</c:v>
                </c:pt>
                <c:pt idx="11">
                  <c:v>5.22E-4</c:v>
                </c:pt>
                <c:pt idx="12">
                  <c:v>6.1399999999999996E-4</c:v>
                </c:pt>
                <c:pt idx="13">
                  <c:v>6.9800000000000005E-4</c:v>
                </c:pt>
                <c:pt idx="14">
                  <c:v>7.6999999999999996E-4</c:v>
                </c:pt>
                <c:pt idx="15">
                  <c:v>8.2899999999999998E-4</c:v>
                </c:pt>
                <c:pt idx="16">
                  <c:v>8.7399999999999999E-4</c:v>
                </c:pt>
                <c:pt idx="17">
                  <c:v>9.0499999999999999E-4</c:v>
                </c:pt>
                <c:pt idx="18">
                  <c:v>9.2400000000000002E-4</c:v>
                </c:pt>
                <c:pt idx="19">
                  <c:v>9.3400000000000004E-4</c:v>
                </c:pt>
                <c:pt idx="20">
                  <c:v>9.3700000000000001E-4</c:v>
                </c:pt>
                <c:pt idx="21">
                  <c:v>9.3599999999999998E-4</c:v>
                </c:pt>
                <c:pt idx="22">
                  <c:v>9.3300000000000002E-4</c:v>
                </c:pt>
                <c:pt idx="23">
                  <c:v>9.3099999999999997E-4</c:v>
                </c:pt>
                <c:pt idx="24">
                  <c:v>9.3099999999999997E-4</c:v>
                </c:pt>
                <c:pt idx="25">
                  <c:v>9.3400000000000004E-4</c:v>
                </c:pt>
                <c:pt idx="26">
                  <c:v>9.4200000000000002E-4</c:v>
                </c:pt>
                <c:pt idx="27">
                  <c:v>9.5600000000000004E-4</c:v>
                </c:pt>
                <c:pt idx="28">
                  <c:v>9.77E-4</c:v>
                </c:pt>
                <c:pt idx="29">
                  <c:v>1.005E-3</c:v>
                </c:pt>
                <c:pt idx="30">
                  <c:v>1.042E-3</c:v>
                </c:pt>
                <c:pt idx="31">
                  <c:v>1.0859999999999999E-3</c:v>
                </c:pt>
                <c:pt idx="32">
                  <c:v>1.14E-3</c:v>
                </c:pt>
                <c:pt idx="33">
                  <c:v>1.2019999999999999E-3</c:v>
                </c:pt>
                <c:pt idx="34">
                  <c:v>1.2750000000000001E-3</c:v>
                </c:pt>
                <c:pt idx="35">
                  <c:v>1.358E-3</c:v>
                </c:pt>
                <c:pt idx="36">
                  <c:v>1.4530000000000001E-3</c:v>
                </c:pt>
                <c:pt idx="37">
                  <c:v>1.56E-3</c:v>
                </c:pt>
                <c:pt idx="38">
                  <c:v>1.6800000000000001E-3</c:v>
                </c:pt>
                <c:pt idx="39">
                  <c:v>1.815E-3</c:v>
                </c:pt>
                <c:pt idx="40">
                  <c:v>1.9689999999999998E-3</c:v>
                </c:pt>
                <c:pt idx="41">
                  <c:v>2.1440000000000001E-3</c:v>
                </c:pt>
                <c:pt idx="42">
                  <c:v>2.3449999999999999E-3</c:v>
                </c:pt>
                <c:pt idx="43">
                  <c:v>2.5790000000000001E-3</c:v>
                </c:pt>
                <c:pt idx="44">
                  <c:v>2.8509999999999998E-3</c:v>
                </c:pt>
                <c:pt idx="45">
                  <c:v>3.1679999999999998E-3</c:v>
                </c:pt>
                <c:pt idx="46">
                  <c:v>3.5360000000000001E-3</c:v>
                </c:pt>
                <c:pt idx="47">
                  <c:v>3.9579999999999997E-3</c:v>
                </c:pt>
                <c:pt idx="48">
                  <c:v>4.4359999999999998E-3</c:v>
                </c:pt>
                <c:pt idx="49">
                  <c:v>4.9690000000000003E-3</c:v>
                </c:pt>
                <c:pt idx="50">
                  <c:v>5.5500000000000002E-3</c:v>
                </c:pt>
                <c:pt idx="51">
                  <c:v>6.1739999999999998E-3</c:v>
                </c:pt>
                <c:pt idx="52">
                  <c:v>6.8310000000000003E-3</c:v>
                </c:pt>
                <c:pt idx="53">
                  <c:v>7.5129999999999997E-3</c:v>
                </c:pt>
                <c:pt idx="54">
                  <c:v>8.2120000000000005E-3</c:v>
                </c:pt>
                <c:pt idx="55">
                  <c:v>8.9250000000000006E-3</c:v>
                </c:pt>
                <c:pt idx="56">
                  <c:v>9.6509999999999999E-3</c:v>
                </c:pt>
                <c:pt idx="57">
                  <c:v>1.0392999999999999E-2</c:v>
                </c:pt>
                <c:pt idx="58">
                  <c:v>1.1162E-2</c:v>
                </c:pt>
                <c:pt idx="59">
                  <c:v>1.1969E-2</c:v>
                </c:pt>
                <c:pt idx="60">
                  <c:v>1.2831E-2</c:v>
                </c:pt>
                <c:pt idx="61">
                  <c:v>1.3764999999999999E-2</c:v>
                </c:pt>
                <c:pt idx="62">
                  <c:v>1.4792E-2</c:v>
                </c:pt>
                <c:pt idx="63">
                  <c:v>1.5932000000000002E-2</c:v>
                </c:pt>
                <c:pt idx="64">
                  <c:v>1.7205999999999999E-2</c:v>
                </c:pt>
                <c:pt idx="65">
                  <c:v>1.8634999999999999E-2</c:v>
                </c:pt>
                <c:pt idx="66">
                  <c:v>2.0240000000000001E-2</c:v>
                </c:pt>
                <c:pt idx="67">
                  <c:v>2.2040000000000001E-2</c:v>
                </c:pt>
                <c:pt idx="68">
                  <c:v>2.4058E-2</c:v>
                </c:pt>
                <c:pt idx="69">
                  <c:v>2.6314000000000001E-2</c:v>
                </c:pt>
                <c:pt idx="70">
                  <c:v>2.8832E-2</c:v>
                </c:pt>
                <c:pt idx="71">
                  <c:v>3.1637999999999999E-2</c:v>
                </c:pt>
                <c:pt idx="72">
                  <c:v>3.4757000000000003E-2</c:v>
                </c:pt>
                <c:pt idx="73">
                  <c:v>3.8220999999999998E-2</c:v>
                </c:pt>
                <c:pt idx="74">
                  <c:v>4.2061000000000001E-2</c:v>
                </c:pt>
                <c:pt idx="75">
                  <c:v>4.6316000000000003E-2</c:v>
                </c:pt>
                <c:pt idx="76">
                  <c:v>5.1024E-2</c:v>
                </c:pt>
                <c:pt idx="77">
                  <c:v>5.6231000000000003E-2</c:v>
                </c:pt>
                <c:pt idx="78">
                  <c:v>6.1984999999999998E-2</c:v>
                </c:pt>
                <c:pt idx="79">
                  <c:v>6.8337999999999996E-2</c:v>
                </c:pt>
                <c:pt idx="80">
                  <c:v>7.535E-2</c:v>
                </c:pt>
                <c:pt idx="81">
                  <c:v>8.3082000000000003E-2</c:v>
                </c:pt>
                <c:pt idx="82">
                  <c:v>9.1601000000000002E-2</c:v>
                </c:pt>
                <c:pt idx="83">
                  <c:v>0.100979</c:v>
                </c:pt>
                <c:pt idx="84">
                  <c:v>0.111291</c:v>
                </c:pt>
                <c:pt idx="85">
                  <c:v>0.122616</c:v>
                </c:pt>
                <c:pt idx="86">
                  <c:v>0.13503699999999999</c:v>
                </c:pt>
                <c:pt idx="87">
                  <c:v>0.14863899999999999</c:v>
                </c:pt>
                <c:pt idx="88">
                  <c:v>0.16350700000000001</c:v>
                </c:pt>
                <c:pt idx="89">
                  <c:v>0.179726</c:v>
                </c:pt>
                <c:pt idx="90">
                  <c:v>0.19738</c:v>
                </c:pt>
                <c:pt idx="91">
                  <c:v>0.21654699999999999</c:v>
                </c:pt>
                <c:pt idx="92">
                  <c:v>0.23730200000000001</c:v>
                </c:pt>
                <c:pt idx="93">
                  <c:v>0.25970599999999999</c:v>
                </c:pt>
                <c:pt idx="94">
                  <c:v>0.28381299999999998</c:v>
                </c:pt>
                <c:pt idx="95">
                  <c:v>0.30965900000000002</c:v>
                </c:pt>
                <c:pt idx="96">
                  <c:v>0.33726499999999998</c:v>
                </c:pt>
                <c:pt idx="97">
                  <c:v>0.36663000000000001</c:v>
                </c:pt>
                <c:pt idx="98">
                  <c:v>0.397733</c:v>
                </c:pt>
                <c:pt idx="99">
                  <c:v>0.430529</c:v>
                </c:pt>
                <c:pt idx="100">
                  <c:v>0.46494999999999997</c:v>
                </c:pt>
                <c:pt idx="101">
                  <c:v>0.50090400000000002</c:v>
                </c:pt>
                <c:pt idx="102">
                  <c:v>0.53827800000000003</c:v>
                </c:pt>
                <c:pt idx="103">
                  <c:v>0.57694199999999995</c:v>
                </c:pt>
                <c:pt idx="104">
                  <c:v>0.61675199999999997</c:v>
                </c:pt>
                <c:pt idx="105">
                  <c:v>0.65755300000000005</c:v>
                </c:pt>
                <c:pt idx="106">
                  <c:v>0.69919100000000001</c:v>
                </c:pt>
                <c:pt idx="107">
                  <c:v>0.74151500000000004</c:v>
                </c:pt>
                <c:pt idx="108">
                  <c:v>0.78438300000000005</c:v>
                </c:pt>
                <c:pt idx="109">
                  <c:v>0.82767299999999999</c:v>
                </c:pt>
                <c:pt idx="110">
                  <c:v>0.87128499999999998</c:v>
                </c:pt>
                <c:pt idx="111">
                  <c:v>0.91514499999999999</c:v>
                </c:pt>
                <c:pt idx="112">
                  <c:v>0.95921400000000001</c:v>
                </c:pt>
                <c:pt idx="1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79-409B-A8E7-2F323C0CC1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500380960"/>
        <c:axId val="1500378880"/>
      </c:lineChart>
      <c:catAx>
        <c:axId val="1500380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Age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378880"/>
        <c:crosses val="autoZero"/>
        <c:auto val="1"/>
        <c:lblAlgn val="ctr"/>
        <c:lblOffset val="100"/>
        <c:noMultiLvlLbl val="0"/>
      </c:catAx>
      <c:valAx>
        <c:axId val="15003788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Mortality rates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380960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Improvment</a:t>
            </a:r>
            <a:r>
              <a:rPr lang="en-IN" baseline="0"/>
              <a:t> by %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'IALM Comparison'!$G$4</c:f>
              <c:strCache>
                <c:ptCount val="1"/>
                <c:pt idx="0">
                  <c:v>Improvement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'IALM Comparison'!$G$5:$G$118</c:f>
              <c:numCache>
                <c:formatCode>0.00%</c:formatCode>
                <c:ptCount val="114"/>
                <c:pt idx="0">
                  <c:v>0.68824531516183984</c:v>
                </c:pt>
                <c:pt idx="1">
                  <c:v>0.78752260397830021</c:v>
                </c:pt>
                <c:pt idx="2">
                  <c:v>0.83772455089820363</c:v>
                </c:pt>
                <c:pt idx="3">
                  <c:v>0.85375494071146241</c:v>
                </c:pt>
                <c:pt idx="4">
                  <c:v>0.84232365145228216</c:v>
                </c:pt>
                <c:pt idx="5">
                  <c:v>0.79973118279569899</c:v>
                </c:pt>
                <c:pt idx="6">
                  <c:v>0.7169491525423729</c:v>
                </c:pt>
                <c:pt idx="7">
                  <c:v>0.58130081300813008</c:v>
                </c:pt>
                <c:pt idx="8">
                  <c:v>0.39772727272727276</c:v>
                </c:pt>
                <c:pt idx="9">
                  <c:v>0.20327102803738317</c:v>
                </c:pt>
                <c:pt idx="10">
                  <c:v>4.2410714285714225E-2</c:v>
                </c:pt>
                <c:pt idx="11">
                  <c:v>-6.3136456211812617E-2</c:v>
                </c:pt>
                <c:pt idx="12">
                  <c:v>-0.11839708561020028</c:v>
                </c:pt>
                <c:pt idx="13">
                  <c:v>-0.13680781758957669</c:v>
                </c:pt>
                <c:pt idx="14">
                  <c:v>-0.13235294117647045</c:v>
                </c:pt>
                <c:pt idx="15">
                  <c:v>-0.11574697173620463</c:v>
                </c:pt>
                <c:pt idx="16">
                  <c:v>-9.2499999999999943E-2</c:v>
                </c:pt>
                <c:pt idx="17">
                  <c:v>-6.7216981132075443E-2</c:v>
                </c:pt>
                <c:pt idx="18">
                  <c:v>-4.054054054054055E-2</c:v>
                </c:pt>
                <c:pt idx="19">
                  <c:v>-1.6322089227421153E-2</c:v>
                </c:pt>
                <c:pt idx="20">
                  <c:v>6.3626723223754369E-3</c:v>
                </c:pt>
                <c:pt idx="21">
                  <c:v>2.601456815816864E-2</c:v>
                </c:pt>
                <c:pt idx="22">
                  <c:v>4.2094455852156078E-2</c:v>
                </c:pt>
                <c:pt idx="23">
                  <c:v>5.3861788617886271E-2</c:v>
                </c:pt>
                <c:pt idx="24">
                  <c:v>6.3380281690140955E-2</c:v>
                </c:pt>
                <c:pt idx="25">
                  <c:v>6.9721115537848474E-2</c:v>
                </c:pt>
                <c:pt idx="26">
                  <c:v>7.374631268436567E-2</c:v>
                </c:pt>
                <c:pt idx="27">
                  <c:v>7.5435203094777512E-2</c:v>
                </c:pt>
                <c:pt idx="28">
                  <c:v>7.4810606060606133E-2</c:v>
                </c:pt>
                <c:pt idx="29">
                  <c:v>7.2878228782287696E-2</c:v>
                </c:pt>
                <c:pt idx="30">
                  <c:v>6.8811438784629156E-2</c:v>
                </c:pt>
                <c:pt idx="31">
                  <c:v>6.7010309278350652E-2</c:v>
                </c:pt>
                <c:pt idx="32">
                  <c:v>6.4039408866995037E-2</c:v>
                </c:pt>
                <c:pt idx="33">
                  <c:v>6.2402496099843989E-2</c:v>
                </c:pt>
                <c:pt idx="34">
                  <c:v>6.1119293078055928E-2</c:v>
                </c:pt>
                <c:pt idx="35">
                  <c:v>6.1506565307532748E-2</c:v>
                </c:pt>
                <c:pt idx="36">
                  <c:v>6.1975468043899258E-2</c:v>
                </c:pt>
                <c:pt idx="37">
                  <c:v>6.4187162567486564E-2</c:v>
                </c:pt>
                <c:pt idx="38">
                  <c:v>6.8219633943427532E-2</c:v>
                </c:pt>
                <c:pt idx="39">
                  <c:v>7.3506891271056571E-2</c:v>
                </c:pt>
                <c:pt idx="40">
                  <c:v>7.9906542056074836E-2</c:v>
                </c:pt>
                <c:pt idx="41">
                  <c:v>8.7659574468085116E-2</c:v>
                </c:pt>
                <c:pt idx="42">
                  <c:v>9.5642113382182786E-2</c:v>
                </c:pt>
                <c:pt idx="43">
                  <c:v>0.10264439805149607</c:v>
                </c:pt>
                <c:pt idx="44">
                  <c:v>0.10822646230841425</c:v>
                </c:pt>
                <c:pt idx="45">
                  <c:v>0.11185870479394451</c:v>
                </c:pt>
                <c:pt idx="46">
                  <c:v>0.11222696459954816</c:v>
                </c:pt>
                <c:pt idx="47">
                  <c:v>0.10936093609360943</c:v>
                </c:pt>
                <c:pt idx="48">
                  <c:v>0.10311362717347353</c:v>
                </c:pt>
                <c:pt idx="49">
                  <c:v>9.3744300565383853E-2</c:v>
                </c:pt>
                <c:pt idx="50">
                  <c:v>8.2796232027763955E-2</c:v>
                </c:pt>
                <c:pt idx="51">
                  <c:v>7.0600632244467831E-2</c:v>
                </c:pt>
                <c:pt idx="52">
                  <c:v>5.8572216097023157E-2</c:v>
                </c:pt>
                <c:pt idx="53">
                  <c:v>4.7540567951318398E-2</c:v>
                </c:pt>
                <c:pt idx="54">
                  <c:v>3.8745171485426631E-2</c:v>
                </c:pt>
                <c:pt idx="55">
                  <c:v>3.2520325203252022E-2</c:v>
                </c:pt>
                <c:pt idx="56">
                  <c:v>2.9465004022526133E-2</c:v>
                </c:pt>
                <c:pt idx="57">
                  <c:v>2.950789055934264E-2</c:v>
                </c:pt>
                <c:pt idx="58">
                  <c:v>3.2252470955436166E-2</c:v>
                </c:pt>
                <c:pt idx="59">
                  <c:v>3.7165151637036355E-2</c:v>
                </c:pt>
                <c:pt idx="60">
                  <c:v>4.3462054569852408E-2</c:v>
                </c:pt>
                <c:pt idx="61">
                  <c:v>5.0493205490791199E-2</c:v>
                </c:pt>
                <c:pt idx="62">
                  <c:v>5.729399018545666E-2</c:v>
                </c:pt>
                <c:pt idx="63">
                  <c:v>6.331941913104816E-2</c:v>
                </c:pt>
                <c:pt idx="64">
                  <c:v>6.8031632542519788E-2</c:v>
                </c:pt>
                <c:pt idx="65">
                  <c:v>7.1083196251433139E-2</c:v>
                </c:pt>
                <c:pt idx="66">
                  <c:v>7.2368119528851027E-2</c:v>
                </c:pt>
                <c:pt idx="67">
                  <c:v>7.1843678935399613E-2</c:v>
                </c:pt>
                <c:pt idx="68">
                  <c:v>6.9502997485979504E-2</c:v>
                </c:pt>
                <c:pt idx="69">
                  <c:v>6.5520792641784134E-2</c:v>
                </c:pt>
                <c:pt idx="70">
                  <c:v>6.0020213216835622E-2</c:v>
                </c:pt>
                <c:pt idx="71">
                  <c:v>5.3094696516221652E-2</c:v>
                </c:pt>
                <c:pt idx="72">
                  <c:v>4.4979941748639868E-2</c:v>
                </c:pt>
                <c:pt idx="73">
                  <c:v>3.5724197088578873E-2</c:v>
                </c:pt>
                <c:pt idx="74">
                  <c:v>2.5508549186784621E-2</c:v>
                </c:pt>
                <c:pt idx="75">
                  <c:v>1.4364452767551128E-2</c:v>
                </c:pt>
                <c:pt idx="76">
                  <c:v>2.4438405442921683E-3</c:v>
                </c:pt>
                <c:pt idx="77">
                  <c:v>-1.0222413855053718E-2</c:v>
                </c:pt>
                <c:pt idx="78">
                  <c:v>-2.3564186399815015E-2</c:v>
                </c:pt>
                <c:pt idx="79">
                  <c:v>-3.7467739486868046E-2</c:v>
                </c:pt>
                <c:pt idx="80">
                  <c:v>-5.1933547396342331E-2</c:v>
                </c:pt>
                <c:pt idx="81">
                  <c:v>-6.6849863886178057E-2</c:v>
                </c:pt>
                <c:pt idx="82">
                  <c:v>-8.2178510248685735E-2</c:v>
                </c:pt>
                <c:pt idx="83">
                  <c:v>-9.7812615511730622E-2</c:v>
                </c:pt>
                <c:pt idx="84">
                  <c:v>-0.11368958270789548</c:v>
                </c:pt>
                <c:pt idx="85">
                  <c:v>-0.12968490878938646</c:v>
                </c:pt>
                <c:pt idx="86">
                  <c:v>-0.14568238508136352</c:v>
                </c:pt>
                <c:pt idx="87">
                  <c:v>-0.16157795612794323</c:v>
                </c:pt>
                <c:pt idx="88">
                  <c:v>-0.17719860326145667</c:v>
                </c:pt>
                <c:pt idx="89">
                  <c:v>-0.19239419612942602</c:v>
                </c:pt>
                <c:pt idx="90">
                  <c:v>-0.20698089670523193</c:v>
                </c:pt>
                <c:pt idx="91">
                  <c:v>-0.22076025864353083</c:v>
                </c:pt>
                <c:pt idx="92">
                  <c:v>-0.23354507365860264</c:v>
                </c:pt>
                <c:pt idx="93">
                  <c:v>-0.24508473763693459</c:v>
                </c:pt>
                <c:pt idx="94">
                  <c:v>-0.25517659233837786</c:v>
                </c:pt>
                <c:pt idx="95">
                  <c:v>-0.26356873834502403</c:v>
                </c:pt>
                <c:pt idx="96">
                  <c:v>-0.27003822183728415</c:v>
                </c:pt>
                <c:pt idx="97">
                  <c:v>-0.27435270890757368</c:v>
                </c:pt>
                <c:pt idx="98">
                  <c:v>-0.27630700707253514</c:v>
                </c:pt>
                <c:pt idx="99">
                  <c:v>-0.27570951932251198</c:v>
                </c:pt>
                <c:pt idx="100">
                  <c:v>-0.27240285596219049</c:v>
                </c:pt>
                <c:pt idx="101">
                  <c:v>-0.26626168862193705</c:v>
                </c:pt>
                <c:pt idx="102">
                  <c:v>-0.25720945549838498</c:v>
                </c:pt>
                <c:pt idx="103">
                  <c:v>-0.24521558208349603</c:v>
                </c:pt>
                <c:pt idx="104">
                  <c:v>-0.23031011494161147</c:v>
                </c:pt>
                <c:pt idx="105">
                  <c:v>-0.21256205235633002</c:v>
                </c:pt>
                <c:pt idx="106">
                  <c:v>-0.19210899617401736</c:v>
                </c:pt>
                <c:pt idx="107">
                  <c:v>-0.1691320690459823</c:v>
                </c:pt>
                <c:pt idx="108">
                  <c:v>-0.1438539848367523</c:v>
                </c:pt>
                <c:pt idx="109">
                  <c:v>-0.11654118602477052</c:v>
                </c:pt>
                <c:pt idx="110">
                  <c:v>-8.7487253351572841E-2</c:v>
                </c:pt>
                <c:pt idx="111">
                  <c:v>-5.6999636172535076E-2</c:v>
                </c:pt>
                <c:pt idx="112">
                  <c:v>-2.5400527872592244E-2</c:v>
                </c:pt>
                <c:pt idx="113">
                  <c:v>-1.4408660615380865E-2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'IALM Comparison'!#REF!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FAE-4864-988A-369DEDB7F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4230272"/>
        <c:axId val="1724228608"/>
      </c:lineChart>
      <c:catAx>
        <c:axId val="17242302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Age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228608"/>
        <c:crosses val="autoZero"/>
        <c:auto val="1"/>
        <c:lblAlgn val="ctr"/>
        <c:lblOffset val="100"/>
        <c:noMultiLvlLbl val="0"/>
      </c:catAx>
      <c:valAx>
        <c:axId val="172422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%</a:t>
                </a:r>
                <a:r>
                  <a:rPr lang="en-IN" baseline="0"/>
                  <a:t> Improvement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230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[Mortality Improvement Analysis.xlsx]IALM Comparison!PivotTable10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Improvement between Age Bands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'IALM Comparison'!$S$6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'IALM Comparison'!$R$7:$R$19</c:f>
              <c:strCache>
                <c:ptCount val="12"/>
                <c:pt idx="0">
                  <c:v>0-9</c:v>
                </c:pt>
                <c:pt idx="1">
                  <c:v>10-19</c:v>
                </c:pt>
                <c:pt idx="2">
                  <c:v>20-29</c:v>
                </c:pt>
                <c:pt idx="3">
                  <c:v>30-39</c:v>
                </c:pt>
                <c:pt idx="4">
                  <c:v>40-49</c:v>
                </c:pt>
                <c:pt idx="5">
                  <c:v>50-59</c:v>
                </c:pt>
                <c:pt idx="6">
                  <c:v>60-69</c:v>
                </c:pt>
                <c:pt idx="7">
                  <c:v>70-79</c:v>
                </c:pt>
                <c:pt idx="8">
                  <c:v>80-89</c:v>
                </c:pt>
                <c:pt idx="9">
                  <c:v>90-99</c:v>
                </c:pt>
                <c:pt idx="10">
                  <c:v>100-109</c:v>
                </c:pt>
                <c:pt idx="11">
                  <c:v>110-119</c:v>
                </c:pt>
              </c:strCache>
            </c:strRef>
          </c:cat>
          <c:val>
            <c:numRef>
              <c:f>'IALM Comparison'!$S$7:$S$19</c:f>
              <c:numCache>
                <c:formatCode>0.00%</c:formatCode>
                <c:ptCount val="12"/>
                <c:pt idx="0">
                  <c:v>0.76344402631853625</c:v>
                </c:pt>
                <c:pt idx="1">
                  <c:v>-8.2749238405969879E-3</c:v>
                </c:pt>
                <c:pt idx="2">
                  <c:v>3.5375376818975734E-2</c:v>
                </c:pt>
                <c:pt idx="3">
                  <c:v>6.5874097686968724E-2</c:v>
                </c:pt>
                <c:pt idx="4">
                  <c:v>9.4925222096783918E-2</c:v>
                </c:pt>
                <c:pt idx="5">
                  <c:v>5.8660596732997818E-2</c:v>
                </c:pt>
                <c:pt idx="6">
                  <c:v>5.6731291922782458E-2</c:v>
                </c:pt>
                <c:pt idx="7">
                  <c:v>3.6093726734161377E-2</c:v>
                </c:pt>
                <c:pt idx="8">
                  <c:v>-9.104412956362086E-2</c:v>
                </c:pt>
                <c:pt idx="9">
                  <c:v>-0.23391000274634424</c:v>
                </c:pt>
                <c:pt idx="10">
                  <c:v>-0.23972193410789969</c:v>
                </c:pt>
                <c:pt idx="11">
                  <c:v>-7.4115208145600645E-2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D8-4622-83BB-445F011D7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319547536"/>
        <c:axId val="1319545872"/>
      </c:barChart>
      <c:catAx>
        <c:axId val="1319547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545872"/>
        <c:crosses val="autoZero"/>
        <c:auto val="1"/>
        <c:lblAlgn val="ctr"/>
        <c:lblOffset val="100"/>
        <c:noMultiLvlLbl val="0"/>
      </c:catAx>
      <c:valAx>
        <c:axId val="1319545872"/>
        <c:scaling>
          <c:orientation val="minMax"/>
          <c:min val="-0.2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547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Premium under IALM 2006-08 vs IALM 2012-14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'Premium Comparison'!$D$3</c:f>
              <c:strCache>
                <c:ptCount val="1"/>
                <c:pt idx="0">
                  <c:v>IALM 2006-08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'Premium Comparison'!$C$4:$C$8</c:f>
              <c:strCache>
                <c:ptCount val="5"/>
                <c:pt idx="0">
                  <c:v>A (25)</c:v>
                </c:pt>
                <c:pt idx="1">
                  <c:v>B (30)</c:v>
                </c:pt>
                <c:pt idx="2">
                  <c:v>C (35)</c:v>
                </c:pt>
                <c:pt idx="3">
                  <c:v>D (40)</c:v>
                </c:pt>
                <c:pt idx="4">
                  <c:v>E (45)</c:v>
                </c:pt>
              </c:strCache>
            </c:strRef>
          </c:cat>
          <c:val>
            <c:numRef>
              <c:f>'Premium Comparison'!$D$4:$D$8</c:f>
              <c:numCache>
                <c:formatCode>"₹"\ #,##0.00</c:formatCode>
                <c:ptCount val="5"/>
                <c:pt idx="0">
                  <c:v>5647.1582056716124</c:v>
                </c:pt>
                <c:pt idx="1">
                  <c:v>6641.1738758367719</c:v>
                </c:pt>
                <c:pt idx="2">
                  <c:v>8969.336417512206</c:v>
                </c:pt>
                <c:pt idx="3">
                  <c:v>13800.684396183757</c:v>
                </c:pt>
                <c:pt idx="4">
                  <c:v>22710.400234373024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F3-435A-BAE6-FEAE8F000224}"/>
            </c:ext>
          </c:extLst>
        </c:ser>
        <c:ser>
          <c:idx val="1"/>
          <c:order val="1"/>
          <c:tx>
            <c:strRef>
              <c:f>'Premium Comparison'!$E$3</c:f>
              <c:strCache>
                <c:ptCount val="1"/>
                <c:pt idx="0">
                  <c:v>IALM 2012-14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'Premium Comparison'!$C$4:$C$8</c:f>
              <c:strCache>
                <c:ptCount val="5"/>
                <c:pt idx="0">
                  <c:v>A (25)</c:v>
                </c:pt>
                <c:pt idx="1">
                  <c:v>B (30)</c:v>
                </c:pt>
                <c:pt idx="2">
                  <c:v>C (35)</c:v>
                </c:pt>
                <c:pt idx="3">
                  <c:v>D (40)</c:v>
                </c:pt>
                <c:pt idx="4">
                  <c:v>E (45)</c:v>
                </c:pt>
              </c:strCache>
            </c:strRef>
          </c:cat>
          <c:val>
            <c:numRef>
              <c:f>'Premium Comparison'!$E$4:$E$8</c:f>
              <c:numCache>
                <c:formatCode>"₹"\ #,##0.00</c:formatCode>
                <c:ptCount val="5"/>
                <c:pt idx="0">
                  <c:v>5299.5710213852126</c:v>
                </c:pt>
                <c:pt idx="1">
                  <c:v>6237.9056792251968</c:v>
                </c:pt>
                <c:pt idx="2">
                  <c:v>8361.6293919596246</c:v>
                </c:pt>
                <c:pt idx="3">
                  <c:v>12524.18805572446</c:v>
                </c:pt>
                <c:pt idx="4">
                  <c:v>20638.31131125295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F3-435A-BAE6-FEAE8F000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125455"/>
        <c:axId val="159124623"/>
      </c:lineChart>
      <c:catAx>
        <c:axId val="1591254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Policyholder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24623"/>
        <c:crosses val="autoZero"/>
        <c:auto val="1"/>
        <c:lblAlgn val="ctr"/>
        <c:lblOffset val="100"/>
        <c:noMultiLvlLbl val="0"/>
      </c:catAx>
      <c:valAx>
        <c:axId val="15912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Premium Amount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25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Percentage Change in Premium for Policyholders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'Premium Comparison'!$G$3</c:f>
              <c:strCache>
                <c:ptCount val="1"/>
                <c:pt idx="0">
                  <c:v>Change %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'Premium Comparison'!$C$4:$C$8</c:f>
              <c:strCache>
                <c:ptCount val="5"/>
                <c:pt idx="0">
                  <c:v>A (25)</c:v>
                </c:pt>
                <c:pt idx="1">
                  <c:v>B (30)</c:v>
                </c:pt>
                <c:pt idx="2">
                  <c:v>C (35)</c:v>
                </c:pt>
                <c:pt idx="3">
                  <c:v>D (40)</c:v>
                </c:pt>
                <c:pt idx="4">
                  <c:v>E (45)</c:v>
                </c:pt>
              </c:strCache>
            </c:strRef>
          </c:cat>
          <c:val>
            <c:numRef>
              <c:f>'Premium Comparison'!$G$4:$G$8</c:f>
              <c:numCache>
                <c:formatCode>0.00%</c:formatCode>
                <c:ptCount val="5"/>
                <c:pt idx="0">
                  <c:v>6.1550813989469516E-2</c:v>
                </c:pt>
                <c:pt idx="1">
                  <c:v>6.072242711169256E-2</c:v>
                </c:pt>
                <c:pt idx="2">
                  <c:v>6.7753844572722474E-2</c:v>
                </c:pt>
                <c:pt idx="3">
                  <c:v>9.2495147618351467E-2</c:v>
                </c:pt>
                <c:pt idx="4">
                  <c:v>9.1239647991050887E-2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BD-4689-8E6E-546DCCB41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313298863"/>
        <c:axId val="313307183"/>
      </c:barChart>
      <c:catAx>
        <c:axId val="3132988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Polciyholder</a:t>
                </a:r>
              </a:p>
            </c:rich>
          </c:tx>
          <c:layout>
            <c:manualLayout>
              <c:xMode val="edge"/>
              <c:yMode val="edge"/>
              <c:x val="0.49715390752367405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307183"/>
        <c:crosses val="autoZero"/>
        <c:auto val="1"/>
        <c:lblAlgn val="ctr"/>
        <c:lblOffset val="100"/>
        <c:noMultiLvlLbl val="0"/>
      </c:catAx>
      <c:valAx>
        <c:axId val="313307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% of Change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298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Stressed Premium Comparison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'Stress Test on IALM 2012-14'!$T$6:$T$14</c:f>
              <c:numCache>
                <c:formatCode>General</c:formatCode>
                <c:ptCount val="9"/>
                <c:pt idx="0">
                  <c:v>0.75</c:v>
                </c:pt>
                <c:pt idx="1">
                  <c:v>0.8</c:v>
                </c:pt>
                <c:pt idx="2">
                  <c:v>0.85</c:v>
                </c:pt>
                <c:pt idx="3">
                  <c:v>0.9</c:v>
                </c:pt>
                <c:pt idx="4">
                  <c:v>1</c:v>
                </c:pt>
                <c:pt idx="5">
                  <c:v>1.1000000000000001</c:v>
                </c:pt>
                <c:pt idx="6">
                  <c:v>1.1499999999999999</c:v>
                </c:pt>
                <c:pt idx="7">
                  <c:v>1.2</c:v>
                </c:pt>
                <c:pt idx="8">
                  <c:v>1.25</c:v>
                </c:pt>
              </c:numCache>
            </c:numRef>
          </c:cat>
          <c:val>
            <c:numRef>
              <c:f>'Stress Test on IALM 2012-14'!$U$6:$U$14</c:f>
              <c:numCache>
                <c:formatCode>"₹"\ #,##0.00</c:formatCode>
                <c:ptCount val="9"/>
                <c:pt idx="0">
                  <c:v>6406.4964378159639</c:v>
                </c:pt>
                <c:pt idx="1">
                  <c:v>6797.5990232523727</c:v>
                </c:pt>
                <c:pt idx="2">
                  <c:v>7188.663609186232</c:v>
                </c:pt>
                <c:pt idx="3">
                  <c:v>7579.6901978137876</c:v>
                </c:pt>
                <c:pt idx="4">
                  <c:v>8361.6293919596246</c:v>
                </c:pt>
                <c:pt idx="5">
                  <c:v>9143.4166233586093</c:v>
                </c:pt>
                <c:pt idx="6">
                  <c:v>9534.253258571116</c:v>
                </c:pt>
                <c:pt idx="7">
                  <c:v>9925.051909758482</c:v>
                </c:pt>
                <c:pt idx="8">
                  <c:v>10315.812579151539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F8-4767-AA3B-93B9D8924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353097023"/>
        <c:axId val="353098687"/>
      </c:barChart>
      <c:catAx>
        <c:axId val="3530970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Stress</a:t>
                </a:r>
                <a:r>
                  <a:rPr lang="en-IN" baseline="0"/>
                  <a:t> Rate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098687"/>
        <c:crosses val="autoZero"/>
        <c:auto val="1"/>
        <c:lblAlgn val="ctr"/>
        <c:lblOffset val="100"/>
        <c:noMultiLvlLbl val="0"/>
      </c:catAx>
      <c:valAx>
        <c:axId val="353098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Premium</a:t>
                </a:r>
                <a:r>
                  <a:rPr lang="en-IN" baseline="0"/>
                  <a:t> Amount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097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Interest rate Stress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'Stress Test on IALM 2012-14'!$AA$6:$AA$10</c:f>
              <c:numCache>
                <c:formatCode>0%</c:formatCode>
                <c:ptCount val="5"/>
                <c:pt idx="0" formatCode="0.00%">
                  <c:v>5.5E-2</c:v>
                </c:pt>
                <c:pt idx="1">
                  <c:v>0.06</c:v>
                </c:pt>
                <c:pt idx="2" formatCode="0.00%">
                  <c:v>6.5000000000000002E-2</c:v>
                </c:pt>
                <c:pt idx="3">
                  <c:v>7.0000000000000007E-2</c:v>
                </c:pt>
                <c:pt idx="4" formatCode="0.00%">
                  <c:v>7.4999999999999997E-2</c:v>
                </c:pt>
              </c:numCache>
            </c:numRef>
          </c:cat>
          <c:val>
            <c:numRef>
              <c:f>'Stress Test on IALM 2012-14'!$AB$6:$AB$10</c:f>
              <c:numCache>
                <c:formatCode>"₹"\ #,##0.00</c:formatCode>
                <c:ptCount val="5"/>
                <c:pt idx="0">
                  <c:v>8427.416236343015</c:v>
                </c:pt>
                <c:pt idx="1">
                  <c:v>8394.2777401468611</c:v>
                </c:pt>
                <c:pt idx="2">
                  <c:v>8361.6293919596246</c:v>
                </c:pt>
                <c:pt idx="3">
                  <c:v>8329.4668730982266</c:v>
                </c:pt>
                <c:pt idx="4">
                  <c:v>8297.7857532501093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0C-48B2-B85D-5E14508B6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11745631"/>
        <c:axId val="111754367"/>
      </c:barChart>
      <c:catAx>
        <c:axId val="11174563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Interest rate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54367"/>
        <c:crosses val="autoZero"/>
        <c:auto val="1"/>
        <c:lblAlgn val="ctr"/>
        <c:lblOffset val="100"/>
        <c:noMultiLvlLbl val="0"/>
      </c:catAx>
      <c:valAx>
        <c:axId val="111754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Premium Amount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45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922020</xdr:colOff>
      <xdr:row>11</xdr:row>
      <xdr:rowOff>95250</xdr:rowOff>
    </xdr:from>
    <xdr:ext cx="65" cy="172227"/>
    <xdr:sp macro="" textlink="">
      <xdr:nvSpPr>
        <xdr:cNvPr id="2" name="TextBox 1"/>
        <xdr:cNvSpPr txBox="1"/>
      </xdr:nvSpPr>
      <xdr:spPr>
        <a:xfrm>
          <a:off x="6758940" y="23126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3</xdr:col>
      <xdr:colOff>99060</xdr:colOff>
      <xdr:row>2</xdr:row>
      <xdr:rowOff>179070</xdr:rowOff>
    </xdr:from>
    <xdr:ext cx="65" cy="172227"/>
    <xdr:sp macro="" textlink="">
      <xdr:nvSpPr>
        <xdr:cNvPr id="5" name="TextBox 4"/>
        <xdr:cNvSpPr txBox="1"/>
      </xdr:nvSpPr>
      <xdr:spPr>
        <a:xfrm>
          <a:off x="2773680" y="1790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9</xdr:col>
      <xdr:colOff>175260</xdr:colOff>
      <xdr:row>5</xdr:row>
      <xdr:rowOff>80010</xdr:rowOff>
    </xdr:from>
    <xdr:to>
      <xdr:col>15</xdr:col>
      <xdr:colOff>441960</xdr:colOff>
      <xdr:row>20</xdr:row>
      <xdr:rowOff>80010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182880</xdr:colOff>
      <xdr:row>22</xdr:row>
      <xdr:rowOff>80010</xdr:rowOff>
    </xdr:from>
    <xdr:to>
      <xdr:col>15</xdr:col>
      <xdr:colOff>449580</xdr:colOff>
      <xdr:row>37</xdr:row>
      <xdr:rowOff>80010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491490</xdr:colOff>
      <xdr:row>5</xdr:row>
      <xdr:rowOff>11430</xdr:rowOff>
    </xdr:from>
    <xdr:to>
      <xdr:col>28</xdr:col>
      <xdr:colOff>186690</xdr:colOff>
      <xdr:row>20</xdr:row>
      <xdr:rowOff>11430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31</xdr:col>
      <xdr:colOff>251460</xdr:colOff>
      <xdr:row>2</xdr:row>
      <xdr:rowOff>255270</xdr:rowOff>
    </xdr:from>
    <xdr:ext cx="17453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/>
            <xdr:cNvSpPr txBox="1"/>
          </xdr:nvSpPr>
          <xdr:spPr>
            <a:xfrm>
              <a:off x="1470660" y="521970"/>
              <a:ext cx="17453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𝑞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8" name="TextBox 7"/>
            <xdr:cNvSpPr txBox="1"/>
          </xdr:nvSpPr>
          <xdr:spPr>
            <a:xfrm>
              <a:off x="1470660" y="521970"/>
              <a:ext cx="17453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𝑞_𝑥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32</xdr:col>
      <xdr:colOff>259080</xdr:colOff>
      <xdr:row>3</xdr:row>
      <xdr:rowOff>3810</xdr:rowOff>
    </xdr:from>
    <xdr:ext cx="14587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/>
            <xdr:cNvSpPr txBox="1"/>
          </xdr:nvSpPr>
          <xdr:spPr>
            <a:xfrm>
              <a:off x="2164080" y="544830"/>
              <a:ext cx="14587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</m:oMath>
                </m:oMathPara>
              </a14:m>
              <a:endParaRPr lang="en-US" sz="1100" b="0"/>
            </a:p>
          </xdr:txBody>
        </xdr:sp>
      </mc:Choice>
      <mc:Fallback xmlns="">
        <xdr:sp macro="" textlink="">
          <xdr:nvSpPr>
            <xdr:cNvPr id="11" name="TextBox 10"/>
            <xdr:cNvSpPr txBox="1"/>
          </xdr:nvSpPr>
          <xdr:spPr>
            <a:xfrm>
              <a:off x="2164080" y="544830"/>
              <a:ext cx="14587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𝑙_𝑥</a:t>
              </a:r>
              <a:endParaRPr lang="en-US" sz="1100" b="0"/>
            </a:p>
          </xdr:txBody>
        </xdr:sp>
      </mc:Fallback>
    </mc:AlternateContent>
    <xdr:clientData/>
  </xdr:oneCellAnchor>
  <xdr:oneCellAnchor>
    <xdr:from>
      <xdr:col>33</xdr:col>
      <xdr:colOff>259080</xdr:colOff>
      <xdr:row>3</xdr:row>
      <xdr:rowOff>3810</xdr:rowOff>
    </xdr:from>
    <xdr:ext cx="18306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/>
            <xdr:cNvSpPr txBox="1"/>
          </xdr:nvSpPr>
          <xdr:spPr>
            <a:xfrm>
              <a:off x="2849880" y="544830"/>
              <a:ext cx="18306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12" name="TextBox 11"/>
            <xdr:cNvSpPr txBox="1"/>
          </xdr:nvSpPr>
          <xdr:spPr>
            <a:xfrm>
              <a:off x="2849880" y="544830"/>
              <a:ext cx="18306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𝑑_𝑥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34</xdr:col>
      <xdr:colOff>274320</xdr:colOff>
      <xdr:row>2</xdr:row>
      <xdr:rowOff>255270</xdr:rowOff>
    </xdr:from>
    <xdr:ext cx="18396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/>
            <xdr:cNvSpPr txBox="1"/>
          </xdr:nvSpPr>
          <xdr:spPr>
            <a:xfrm>
              <a:off x="3550920" y="521970"/>
              <a:ext cx="18396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sub>
                    </m:sSub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14" name="TextBox 13"/>
            <xdr:cNvSpPr txBox="1"/>
          </xdr:nvSpPr>
          <xdr:spPr>
            <a:xfrm>
              <a:off x="3550920" y="521970"/>
              <a:ext cx="18396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𝑝_𝑋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38</xdr:col>
      <xdr:colOff>251460</xdr:colOff>
      <xdr:row>2</xdr:row>
      <xdr:rowOff>255270</xdr:rowOff>
    </xdr:from>
    <xdr:ext cx="17453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/>
            <xdr:cNvSpPr txBox="1"/>
          </xdr:nvSpPr>
          <xdr:spPr>
            <a:xfrm>
              <a:off x="21640800" y="552450"/>
              <a:ext cx="17453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𝑞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15" name="TextBox 14"/>
            <xdr:cNvSpPr txBox="1"/>
          </xdr:nvSpPr>
          <xdr:spPr>
            <a:xfrm>
              <a:off x="21640800" y="552450"/>
              <a:ext cx="17453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𝑞_𝑥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39</xdr:col>
      <xdr:colOff>259080</xdr:colOff>
      <xdr:row>3</xdr:row>
      <xdr:rowOff>3810</xdr:rowOff>
    </xdr:from>
    <xdr:ext cx="14587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/>
            <xdr:cNvSpPr txBox="1"/>
          </xdr:nvSpPr>
          <xdr:spPr>
            <a:xfrm>
              <a:off x="22258020" y="560070"/>
              <a:ext cx="14587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</m:oMath>
                </m:oMathPara>
              </a14:m>
              <a:endParaRPr lang="en-US" sz="1100" b="0"/>
            </a:p>
          </xdr:txBody>
        </xdr:sp>
      </mc:Choice>
      <mc:Fallback xmlns="">
        <xdr:sp macro="" textlink="">
          <xdr:nvSpPr>
            <xdr:cNvPr id="16" name="TextBox 15"/>
            <xdr:cNvSpPr txBox="1"/>
          </xdr:nvSpPr>
          <xdr:spPr>
            <a:xfrm>
              <a:off x="22258020" y="560070"/>
              <a:ext cx="14587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𝑙_𝑥</a:t>
              </a:r>
              <a:endParaRPr lang="en-US" sz="1100" b="0"/>
            </a:p>
          </xdr:txBody>
        </xdr:sp>
      </mc:Fallback>
    </mc:AlternateContent>
    <xdr:clientData/>
  </xdr:oneCellAnchor>
  <xdr:oneCellAnchor>
    <xdr:from>
      <xdr:col>40</xdr:col>
      <xdr:colOff>259080</xdr:colOff>
      <xdr:row>3</xdr:row>
      <xdr:rowOff>3810</xdr:rowOff>
    </xdr:from>
    <xdr:ext cx="18306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/>
            <xdr:cNvSpPr txBox="1"/>
          </xdr:nvSpPr>
          <xdr:spPr>
            <a:xfrm>
              <a:off x="22867620" y="560070"/>
              <a:ext cx="18306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17" name="TextBox 16"/>
            <xdr:cNvSpPr txBox="1"/>
          </xdr:nvSpPr>
          <xdr:spPr>
            <a:xfrm>
              <a:off x="22867620" y="560070"/>
              <a:ext cx="18306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𝑑_𝑥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41</xdr:col>
      <xdr:colOff>274320</xdr:colOff>
      <xdr:row>2</xdr:row>
      <xdr:rowOff>255270</xdr:rowOff>
    </xdr:from>
    <xdr:ext cx="18396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/>
            <xdr:cNvSpPr txBox="1"/>
          </xdr:nvSpPr>
          <xdr:spPr>
            <a:xfrm>
              <a:off x="23492460" y="552450"/>
              <a:ext cx="18396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sub>
                    </m:sSub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18" name="TextBox 17"/>
            <xdr:cNvSpPr txBox="1"/>
          </xdr:nvSpPr>
          <xdr:spPr>
            <a:xfrm>
              <a:off x="23492460" y="552450"/>
              <a:ext cx="18396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𝑝_𝑋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38</xdr:col>
      <xdr:colOff>251460</xdr:colOff>
      <xdr:row>2</xdr:row>
      <xdr:rowOff>255270</xdr:rowOff>
    </xdr:from>
    <xdr:ext cx="17453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/>
            <xdr:cNvSpPr txBox="1"/>
          </xdr:nvSpPr>
          <xdr:spPr>
            <a:xfrm>
              <a:off x="21640800" y="552450"/>
              <a:ext cx="17453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𝑞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23" name="TextBox 22"/>
            <xdr:cNvSpPr txBox="1"/>
          </xdr:nvSpPr>
          <xdr:spPr>
            <a:xfrm>
              <a:off x="21640800" y="552450"/>
              <a:ext cx="17453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𝑞_𝑥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39</xdr:col>
      <xdr:colOff>259080</xdr:colOff>
      <xdr:row>3</xdr:row>
      <xdr:rowOff>3810</xdr:rowOff>
    </xdr:from>
    <xdr:ext cx="14587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/>
            <xdr:cNvSpPr txBox="1"/>
          </xdr:nvSpPr>
          <xdr:spPr>
            <a:xfrm>
              <a:off x="22258020" y="560070"/>
              <a:ext cx="14587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</m:oMath>
                </m:oMathPara>
              </a14:m>
              <a:endParaRPr lang="en-US" sz="1100" b="0"/>
            </a:p>
          </xdr:txBody>
        </xdr:sp>
      </mc:Choice>
      <mc:Fallback xmlns="">
        <xdr:sp macro="" textlink="">
          <xdr:nvSpPr>
            <xdr:cNvPr id="24" name="TextBox 23"/>
            <xdr:cNvSpPr txBox="1"/>
          </xdr:nvSpPr>
          <xdr:spPr>
            <a:xfrm>
              <a:off x="22258020" y="560070"/>
              <a:ext cx="14587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𝑙_𝑥</a:t>
              </a:r>
              <a:endParaRPr lang="en-US" sz="1100" b="0"/>
            </a:p>
          </xdr:txBody>
        </xdr:sp>
      </mc:Fallback>
    </mc:AlternateContent>
    <xdr:clientData/>
  </xdr:oneCellAnchor>
  <xdr:oneCellAnchor>
    <xdr:from>
      <xdr:col>40</xdr:col>
      <xdr:colOff>259080</xdr:colOff>
      <xdr:row>3</xdr:row>
      <xdr:rowOff>3810</xdr:rowOff>
    </xdr:from>
    <xdr:ext cx="18306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/>
            <xdr:cNvSpPr txBox="1"/>
          </xdr:nvSpPr>
          <xdr:spPr>
            <a:xfrm>
              <a:off x="22867620" y="560070"/>
              <a:ext cx="18306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25" name="TextBox 24"/>
            <xdr:cNvSpPr txBox="1"/>
          </xdr:nvSpPr>
          <xdr:spPr>
            <a:xfrm>
              <a:off x="22867620" y="560070"/>
              <a:ext cx="18306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𝑑_𝑥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41</xdr:col>
      <xdr:colOff>274320</xdr:colOff>
      <xdr:row>2</xdr:row>
      <xdr:rowOff>255270</xdr:rowOff>
    </xdr:from>
    <xdr:ext cx="18396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/>
            <xdr:cNvSpPr txBox="1"/>
          </xdr:nvSpPr>
          <xdr:spPr>
            <a:xfrm>
              <a:off x="23492460" y="552450"/>
              <a:ext cx="18396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sub>
                    </m:sSub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26" name="TextBox 25"/>
            <xdr:cNvSpPr txBox="1"/>
          </xdr:nvSpPr>
          <xdr:spPr>
            <a:xfrm>
              <a:off x="23492460" y="552450"/>
              <a:ext cx="18396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𝑝_𝑋</a:t>
              </a:r>
              <a:endParaRPr lang="en-IN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179070</xdr:rowOff>
    </xdr:from>
    <xdr:ext cx="65" cy="172227"/>
    <xdr:sp macro="" textlink="">
      <xdr:nvSpPr>
        <xdr:cNvPr id="2" name="TextBox 1"/>
        <xdr:cNvSpPr txBox="1"/>
      </xdr:nvSpPr>
      <xdr:spPr>
        <a:xfrm>
          <a:off x="609600" y="361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0</xdr:col>
      <xdr:colOff>0</xdr:colOff>
      <xdr:row>2</xdr:row>
      <xdr:rowOff>3810</xdr:rowOff>
    </xdr:from>
    <xdr:ext cx="65" cy="172227"/>
    <xdr:sp macro="" textlink="">
      <xdr:nvSpPr>
        <xdr:cNvPr id="3" name="TextBox 2"/>
        <xdr:cNvSpPr txBox="1"/>
      </xdr:nvSpPr>
      <xdr:spPr>
        <a:xfrm>
          <a:off x="609600" y="3695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0"/>
        </a:p>
      </xdr:txBody>
    </xdr:sp>
    <xdr:clientData/>
  </xdr:oneCellAnchor>
  <xdr:oneCellAnchor>
    <xdr:from>
      <xdr:col>0</xdr:col>
      <xdr:colOff>0</xdr:colOff>
      <xdr:row>2</xdr:row>
      <xdr:rowOff>3810</xdr:rowOff>
    </xdr:from>
    <xdr:ext cx="65" cy="172227"/>
    <xdr:sp macro="" textlink="">
      <xdr:nvSpPr>
        <xdr:cNvPr id="4" name="TextBox 3"/>
        <xdr:cNvSpPr txBox="1"/>
      </xdr:nvSpPr>
      <xdr:spPr>
        <a:xfrm>
          <a:off x="609600" y="3695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0</xdr:col>
      <xdr:colOff>0</xdr:colOff>
      <xdr:row>1</xdr:row>
      <xdr:rowOff>179070</xdr:rowOff>
    </xdr:from>
    <xdr:ext cx="65" cy="172227"/>
    <xdr:sp macro="" textlink="">
      <xdr:nvSpPr>
        <xdr:cNvPr id="5" name="TextBox 4"/>
        <xdr:cNvSpPr txBox="1"/>
      </xdr:nvSpPr>
      <xdr:spPr>
        <a:xfrm>
          <a:off x="609600" y="361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9</xdr:col>
      <xdr:colOff>403860</xdr:colOff>
      <xdr:row>11</xdr:row>
      <xdr:rowOff>179070</xdr:rowOff>
    </xdr:from>
    <xdr:ext cx="17453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/>
            <xdr:cNvSpPr txBox="1"/>
          </xdr:nvSpPr>
          <xdr:spPr>
            <a:xfrm>
              <a:off x="7155180" y="1847850"/>
              <a:ext cx="17453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𝑞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7" name="TextBox 6"/>
            <xdr:cNvSpPr txBox="1"/>
          </xdr:nvSpPr>
          <xdr:spPr>
            <a:xfrm>
              <a:off x="7155180" y="1847850"/>
              <a:ext cx="17453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𝑞_𝑥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10</xdr:col>
      <xdr:colOff>411480</xdr:colOff>
      <xdr:row>12</xdr:row>
      <xdr:rowOff>3810</xdr:rowOff>
    </xdr:from>
    <xdr:ext cx="14587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/>
            <xdr:cNvSpPr txBox="1"/>
          </xdr:nvSpPr>
          <xdr:spPr>
            <a:xfrm>
              <a:off x="8168640" y="1855470"/>
              <a:ext cx="14587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</m:oMath>
                </m:oMathPara>
              </a14:m>
              <a:endParaRPr lang="en-US" sz="1100" b="0"/>
            </a:p>
          </xdr:txBody>
        </xdr:sp>
      </mc:Choice>
      <mc:Fallback xmlns="">
        <xdr:sp macro="" textlink="">
          <xdr:nvSpPr>
            <xdr:cNvPr id="8" name="TextBox 7"/>
            <xdr:cNvSpPr txBox="1"/>
          </xdr:nvSpPr>
          <xdr:spPr>
            <a:xfrm>
              <a:off x="8168640" y="1855470"/>
              <a:ext cx="14587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𝑙_𝑥</a:t>
              </a:r>
              <a:endParaRPr lang="en-US" sz="1100" b="0"/>
            </a:p>
          </xdr:txBody>
        </xdr:sp>
      </mc:Fallback>
    </mc:AlternateContent>
    <xdr:clientData/>
  </xdr:oneCellAnchor>
  <xdr:oneCellAnchor>
    <xdr:from>
      <xdr:col>11</xdr:col>
      <xdr:colOff>236220</xdr:colOff>
      <xdr:row>12</xdr:row>
      <xdr:rowOff>11430</xdr:rowOff>
    </xdr:from>
    <xdr:ext cx="18306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/>
            <xdr:cNvSpPr txBox="1"/>
          </xdr:nvSpPr>
          <xdr:spPr>
            <a:xfrm>
              <a:off x="8907780" y="1863090"/>
              <a:ext cx="18306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9" name="TextBox 8"/>
            <xdr:cNvSpPr txBox="1"/>
          </xdr:nvSpPr>
          <xdr:spPr>
            <a:xfrm>
              <a:off x="8907780" y="1863090"/>
              <a:ext cx="18306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𝑑_𝑥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12</xdr:col>
      <xdr:colOff>274320</xdr:colOff>
      <xdr:row>11</xdr:row>
      <xdr:rowOff>255270</xdr:rowOff>
    </xdr:from>
    <xdr:ext cx="18396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/>
            <xdr:cNvSpPr txBox="1"/>
          </xdr:nvSpPr>
          <xdr:spPr>
            <a:xfrm>
              <a:off x="23492460" y="552450"/>
              <a:ext cx="18396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sub>
                    </m:sSub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31" name="TextBox 30"/>
            <xdr:cNvSpPr txBox="1"/>
          </xdr:nvSpPr>
          <xdr:spPr>
            <a:xfrm>
              <a:off x="23492460" y="552450"/>
              <a:ext cx="18396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𝑝_𝑋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9</xdr:col>
      <xdr:colOff>403860</xdr:colOff>
      <xdr:row>25</xdr:row>
      <xdr:rowOff>179070</xdr:rowOff>
    </xdr:from>
    <xdr:ext cx="17453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/>
            <xdr:cNvSpPr txBox="1"/>
          </xdr:nvSpPr>
          <xdr:spPr>
            <a:xfrm>
              <a:off x="7307580" y="1847850"/>
              <a:ext cx="17453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𝑞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10" name="TextBox 9"/>
            <xdr:cNvSpPr txBox="1"/>
          </xdr:nvSpPr>
          <xdr:spPr>
            <a:xfrm>
              <a:off x="7307580" y="1847850"/>
              <a:ext cx="17453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𝑞_𝑥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10</xdr:col>
      <xdr:colOff>411480</xdr:colOff>
      <xdr:row>26</xdr:row>
      <xdr:rowOff>3810</xdr:rowOff>
    </xdr:from>
    <xdr:ext cx="14587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/>
            <xdr:cNvSpPr txBox="1"/>
          </xdr:nvSpPr>
          <xdr:spPr>
            <a:xfrm>
              <a:off x="8321040" y="1855470"/>
              <a:ext cx="14587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</m:oMath>
                </m:oMathPara>
              </a14:m>
              <a:endParaRPr lang="en-US" sz="1100" b="0"/>
            </a:p>
          </xdr:txBody>
        </xdr:sp>
      </mc:Choice>
      <mc:Fallback xmlns="">
        <xdr:sp macro="" textlink="">
          <xdr:nvSpPr>
            <xdr:cNvPr id="11" name="TextBox 10"/>
            <xdr:cNvSpPr txBox="1"/>
          </xdr:nvSpPr>
          <xdr:spPr>
            <a:xfrm>
              <a:off x="8321040" y="1855470"/>
              <a:ext cx="14587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𝑙_𝑥</a:t>
              </a:r>
              <a:endParaRPr lang="en-US" sz="1100" b="0"/>
            </a:p>
          </xdr:txBody>
        </xdr:sp>
      </mc:Fallback>
    </mc:AlternateContent>
    <xdr:clientData/>
  </xdr:oneCellAnchor>
  <xdr:oneCellAnchor>
    <xdr:from>
      <xdr:col>11</xdr:col>
      <xdr:colOff>236220</xdr:colOff>
      <xdr:row>26</xdr:row>
      <xdr:rowOff>11430</xdr:rowOff>
    </xdr:from>
    <xdr:ext cx="18306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/>
            <xdr:cNvSpPr txBox="1"/>
          </xdr:nvSpPr>
          <xdr:spPr>
            <a:xfrm>
              <a:off x="9060180" y="1863090"/>
              <a:ext cx="18306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12" name="TextBox 11"/>
            <xdr:cNvSpPr txBox="1"/>
          </xdr:nvSpPr>
          <xdr:spPr>
            <a:xfrm>
              <a:off x="9060180" y="1863090"/>
              <a:ext cx="18306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𝑑_𝑥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12</xdr:col>
      <xdr:colOff>274320</xdr:colOff>
      <xdr:row>25</xdr:row>
      <xdr:rowOff>255270</xdr:rowOff>
    </xdr:from>
    <xdr:ext cx="18396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/>
            <xdr:cNvSpPr txBox="1"/>
          </xdr:nvSpPr>
          <xdr:spPr>
            <a:xfrm>
              <a:off x="9707880" y="1847850"/>
              <a:ext cx="18396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sub>
                    </m:sSub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13" name="TextBox 12"/>
            <xdr:cNvSpPr txBox="1"/>
          </xdr:nvSpPr>
          <xdr:spPr>
            <a:xfrm>
              <a:off x="9707880" y="1847850"/>
              <a:ext cx="18396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𝑝_𝑋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9</xdr:col>
      <xdr:colOff>403860</xdr:colOff>
      <xdr:row>43</xdr:row>
      <xdr:rowOff>179070</xdr:rowOff>
    </xdr:from>
    <xdr:ext cx="17453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" name="TextBox 52"/>
            <xdr:cNvSpPr txBox="1"/>
          </xdr:nvSpPr>
          <xdr:spPr>
            <a:xfrm>
              <a:off x="7642860" y="1847850"/>
              <a:ext cx="17453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𝑞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53" name="TextBox 52"/>
            <xdr:cNvSpPr txBox="1"/>
          </xdr:nvSpPr>
          <xdr:spPr>
            <a:xfrm>
              <a:off x="7642860" y="1847850"/>
              <a:ext cx="17453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𝑞_𝑥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10</xdr:col>
      <xdr:colOff>411480</xdr:colOff>
      <xdr:row>44</xdr:row>
      <xdr:rowOff>3810</xdr:rowOff>
    </xdr:from>
    <xdr:ext cx="14587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" name="TextBox 53"/>
            <xdr:cNvSpPr txBox="1"/>
          </xdr:nvSpPr>
          <xdr:spPr>
            <a:xfrm>
              <a:off x="8656320" y="1855470"/>
              <a:ext cx="14587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</m:oMath>
                </m:oMathPara>
              </a14:m>
              <a:endParaRPr lang="en-US" sz="1100" b="0"/>
            </a:p>
          </xdr:txBody>
        </xdr:sp>
      </mc:Choice>
      <mc:Fallback xmlns="">
        <xdr:sp macro="" textlink="">
          <xdr:nvSpPr>
            <xdr:cNvPr id="54" name="TextBox 53"/>
            <xdr:cNvSpPr txBox="1"/>
          </xdr:nvSpPr>
          <xdr:spPr>
            <a:xfrm>
              <a:off x="8656320" y="1855470"/>
              <a:ext cx="14587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𝑙_𝑥</a:t>
              </a:r>
              <a:endParaRPr lang="en-US" sz="1100" b="0"/>
            </a:p>
          </xdr:txBody>
        </xdr:sp>
      </mc:Fallback>
    </mc:AlternateContent>
    <xdr:clientData/>
  </xdr:oneCellAnchor>
  <xdr:oneCellAnchor>
    <xdr:from>
      <xdr:col>11</xdr:col>
      <xdr:colOff>236220</xdr:colOff>
      <xdr:row>44</xdr:row>
      <xdr:rowOff>11430</xdr:rowOff>
    </xdr:from>
    <xdr:ext cx="18306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" name="TextBox 54"/>
            <xdr:cNvSpPr txBox="1"/>
          </xdr:nvSpPr>
          <xdr:spPr>
            <a:xfrm>
              <a:off x="9395460" y="1863090"/>
              <a:ext cx="18306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55" name="TextBox 54"/>
            <xdr:cNvSpPr txBox="1"/>
          </xdr:nvSpPr>
          <xdr:spPr>
            <a:xfrm>
              <a:off x="9395460" y="1863090"/>
              <a:ext cx="18306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𝑑_𝑥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12</xdr:col>
      <xdr:colOff>274320</xdr:colOff>
      <xdr:row>43</xdr:row>
      <xdr:rowOff>255270</xdr:rowOff>
    </xdr:from>
    <xdr:ext cx="18396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6" name="TextBox 55"/>
            <xdr:cNvSpPr txBox="1"/>
          </xdr:nvSpPr>
          <xdr:spPr>
            <a:xfrm>
              <a:off x="10043160" y="1847850"/>
              <a:ext cx="18396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sub>
                    </m:sSub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56" name="TextBox 55"/>
            <xdr:cNvSpPr txBox="1"/>
          </xdr:nvSpPr>
          <xdr:spPr>
            <a:xfrm>
              <a:off x="10043160" y="1847850"/>
              <a:ext cx="18396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𝑝_𝑋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9</xdr:col>
      <xdr:colOff>403860</xdr:colOff>
      <xdr:row>57</xdr:row>
      <xdr:rowOff>179070</xdr:rowOff>
    </xdr:from>
    <xdr:ext cx="17453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" name="TextBox 56"/>
            <xdr:cNvSpPr txBox="1"/>
          </xdr:nvSpPr>
          <xdr:spPr>
            <a:xfrm>
              <a:off x="7642860" y="4408170"/>
              <a:ext cx="17453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𝑞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57" name="TextBox 56"/>
            <xdr:cNvSpPr txBox="1"/>
          </xdr:nvSpPr>
          <xdr:spPr>
            <a:xfrm>
              <a:off x="7642860" y="4408170"/>
              <a:ext cx="17453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𝑞_𝑥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10</xdr:col>
      <xdr:colOff>411480</xdr:colOff>
      <xdr:row>58</xdr:row>
      <xdr:rowOff>3810</xdr:rowOff>
    </xdr:from>
    <xdr:ext cx="14587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" name="TextBox 57"/>
            <xdr:cNvSpPr txBox="1"/>
          </xdr:nvSpPr>
          <xdr:spPr>
            <a:xfrm>
              <a:off x="8656320" y="4415790"/>
              <a:ext cx="14587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</m:oMath>
                </m:oMathPara>
              </a14:m>
              <a:endParaRPr lang="en-US" sz="1100" b="0"/>
            </a:p>
          </xdr:txBody>
        </xdr:sp>
      </mc:Choice>
      <mc:Fallback xmlns="">
        <xdr:sp macro="" textlink="">
          <xdr:nvSpPr>
            <xdr:cNvPr id="58" name="TextBox 57"/>
            <xdr:cNvSpPr txBox="1"/>
          </xdr:nvSpPr>
          <xdr:spPr>
            <a:xfrm>
              <a:off x="8656320" y="4415790"/>
              <a:ext cx="14587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𝑙_𝑥</a:t>
              </a:r>
              <a:endParaRPr lang="en-US" sz="1100" b="0"/>
            </a:p>
          </xdr:txBody>
        </xdr:sp>
      </mc:Fallback>
    </mc:AlternateContent>
    <xdr:clientData/>
  </xdr:oneCellAnchor>
  <xdr:oneCellAnchor>
    <xdr:from>
      <xdr:col>11</xdr:col>
      <xdr:colOff>236220</xdr:colOff>
      <xdr:row>58</xdr:row>
      <xdr:rowOff>11430</xdr:rowOff>
    </xdr:from>
    <xdr:ext cx="18306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" name="TextBox 58"/>
            <xdr:cNvSpPr txBox="1"/>
          </xdr:nvSpPr>
          <xdr:spPr>
            <a:xfrm>
              <a:off x="9395460" y="4423410"/>
              <a:ext cx="18306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59" name="TextBox 58"/>
            <xdr:cNvSpPr txBox="1"/>
          </xdr:nvSpPr>
          <xdr:spPr>
            <a:xfrm>
              <a:off x="9395460" y="4423410"/>
              <a:ext cx="18306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𝑑_𝑥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12</xdr:col>
      <xdr:colOff>274320</xdr:colOff>
      <xdr:row>57</xdr:row>
      <xdr:rowOff>255270</xdr:rowOff>
    </xdr:from>
    <xdr:ext cx="18396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" name="TextBox 59"/>
            <xdr:cNvSpPr txBox="1"/>
          </xdr:nvSpPr>
          <xdr:spPr>
            <a:xfrm>
              <a:off x="10043160" y="4408170"/>
              <a:ext cx="18396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sub>
                    </m:sSub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60" name="TextBox 59"/>
            <xdr:cNvSpPr txBox="1"/>
          </xdr:nvSpPr>
          <xdr:spPr>
            <a:xfrm>
              <a:off x="10043160" y="4408170"/>
              <a:ext cx="18396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𝑝_𝑋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9</xdr:col>
      <xdr:colOff>403860</xdr:colOff>
      <xdr:row>75</xdr:row>
      <xdr:rowOff>179070</xdr:rowOff>
    </xdr:from>
    <xdr:ext cx="17453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" name="TextBox 60"/>
            <xdr:cNvSpPr txBox="1"/>
          </xdr:nvSpPr>
          <xdr:spPr>
            <a:xfrm>
              <a:off x="7642860" y="7700010"/>
              <a:ext cx="17453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𝑞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61" name="TextBox 60"/>
            <xdr:cNvSpPr txBox="1"/>
          </xdr:nvSpPr>
          <xdr:spPr>
            <a:xfrm>
              <a:off x="7642860" y="7700010"/>
              <a:ext cx="17453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𝑞_𝑥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10</xdr:col>
      <xdr:colOff>411480</xdr:colOff>
      <xdr:row>76</xdr:row>
      <xdr:rowOff>3810</xdr:rowOff>
    </xdr:from>
    <xdr:ext cx="14587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2" name="TextBox 61"/>
            <xdr:cNvSpPr txBox="1"/>
          </xdr:nvSpPr>
          <xdr:spPr>
            <a:xfrm>
              <a:off x="8656320" y="7707630"/>
              <a:ext cx="14587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</m:oMath>
                </m:oMathPara>
              </a14:m>
              <a:endParaRPr lang="en-US" sz="1100" b="0"/>
            </a:p>
          </xdr:txBody>
        </xdr:sp>
      </mc:Choice>
      <mc:Fallback xmlns="">
        <xdr:sp macro="" textlink="">
          <xdr:nvSpPr>
            <xdr:cNvPr id="62" name="TextBox 61"/>
            <xdr:cNvSpPr txBox="1"/>
          </xdr:nvSpPr>
          <xdr:spPr>
            <a:xfrm>
              <a:off x="8656320" y="7707630"/>
              <a:ext cx="14587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𝑙_𝑥</a:t>
              </a:r>
              <a:endParaRPr lang="en-US" sz="1100" b="0"/>
            </a:p>
          </xdr:txBody>
        </xdr:sp>
      </mc:Fallback>
    </mc:AlternateContent>
    <xdr:clientData/>
  </xdr:oneCellAnchor>
  <xdr:oneCellAnchor>
    <xdr:from>
      <xdr:col>11</xdr:col>
      <xdr:colOff>236220</xdr:colOff>
      <xdr:row>76</xdr:row>
      <xdr:rowOff>11430</xdr:rowOff>
    </xdr:from>
    <xdr:ext cx="18306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" name="TextBox 62"/>
            <xdr:cNvSpPr txBox="1"/>
          </xdr:nvSpPr>
          <xdr:spPr>
            <a:xfrm>
              <a:off x="9395460" y="7715250"/>
              <a:ext cx="18306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63" name="TextBox 62"/>
            <xdr:cNvSpPr txBox="1"/>
          </xdr:nvSpPr>
          <xdr:spPr>
            <a:xfrm>
              <a:off x="9395460" y="7715250"/>
              <a:ext cx="18306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𝑑_𝑥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12</xdr:col>
      <xdr:colOff>274320</xdr:colOff>
      <xdr:row>75</xdr:row>
      <xdr:rowOff>255270</xdr:rowOff>
    </xdr:from>
    <xdr:ext cx="18396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" name="TextBox 63"/>
            <xdr:cNvSpPr txBox="1"/>
          </xdr:nvSpPr>
          <xdr:spPr>
            <a:xfrm>
              <a:off x="10043160" y="7700010"/>
              <a:ext cx="18396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sub>
                    </m:sSub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64" name="TextBox 63"/>
            <xdr:cNvSpPr txBox="1"/>
          </xdr:nvSpPr>
          <xdr:spPr>
            <a:xfrm>
              <a:off x="10043160" y="7700010"/>
              <a:ext cx="18396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𝑝_𝑋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9</xdr:col>
      <xdr:colOff>403860</xdr:colOff>
      <xdr:row>89</xdr:row>
      <xdr:rowOff>179070</xdr:rowOff>
    </xdr:from>
    <xdr:ext cx="17453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" name="TextBox 64"/>
            <xdr:cNvSpPr txBox="1"/>
          </xdr:nvSpPr>
          <xdr:spPr>
            <a:xfrm>
              <a:off x="7642860" y="10260330"/>
              <a:ext cx="17453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𝑞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65" name="TextBox 64"/>
            <xdr:cNvSpPr txBox="1"/>
          </xdr:nvSpPr>
          <xdr:spPr>
            <a:xfrm>
              <a:off x="7642860" y="10260330"/>
              <a:ext cx="17453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𝑞_𝑥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10</xdr:col>
      <xdr:colOff>411480</xdr:colOff>
      <xdr:row>90</xdr:row>
      <xdr:rowOff>3810</xdr:rowOff>
    </xdr:from>
    <xdr:ext cx="14587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" name="TextBox 65"/>
            <xdr:cNvSpPr txBox="1"/>
          </xdr:nvSpPr>
          <xdr:spPr>
            <a:xfrm>
              <a:off x="8656320" y="10267950"/>
              <a:ext cx="14587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</m:oMath>
                </m:oMathPara>
              </a14:m>
              <a:endParaRPr lang="en-US" sz="1100" b="0"/>
            </a:p>
          </xdr:txBody>
        </xdr:sp>
      </mc:Choice>
      <mc:Fallback xmlns="">
        <xdr:sp macro="" textlink="">
          <xdr:nvSpPr>
            <xdr:cNvPr id="66" name="TextBox 65"/>
            <xdr:cNvSpPr txBox="1"/>
          </xdr:nvSpPr>
          <xdr:spPr>
            <a:xfrm>
              <a:off x="8656320" y="10267950"/>
              <a:ext cx="14587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𝑙_𝑥</a:t>
              </a:r>
              <a:endParaRPr lang="en-US" sz="1100" b="0"/>
            </a:p>
          </xdr:txBody>
        </xdr:sp>
      </mc:Fallback>
    </mc:AlternateContent>
    <xdr:clientData/>
  </xdr:oneCellAnchor>
  <xdr:oneCellAnchor>
    <xdr:from>
      <xdr:col>11</xdr:col>
      <xdr:colOff>236220</xdr:colOff>
      <xdr:row>90</xdr:row>
      <xdr:rowOff>11430</xdr:rowOff>
    </xdr:from>
    <xdr:ext cx="18306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" name="TextBox 66"/>
            <xdr:cNvSpPr txBox="1"/>
          </xdr:nvSpPr>
          <xdr:spPr>
            <a:xfrm>
              <a:off x="9395460" y="10275570"/>
              <a:ext cx="18306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67" name="TextBox 66"/>
            <xdr:cNvSpPr txBox="1"/>
          </xdr:nvSpPr>
          <xdr:spPr>
            <a:xfrm>
              <a:off x="9395460" y="10275570"/>
              <a:ext cx="18306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𝑑_𝑥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12</xdr:col>
      <xdr:colOff>274320</xdr:colOff>
      <xdr:row>89</xdr:row>
      <xdr:rowOff>255270</xdr:rowOff>
    </xdr:from>
    <xdr:ext cx="18396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" name="TextBox 67"/>
            <xdr:cNvSpPr txBox="1"/>
          </xdr:nvSpPr>
          <xdr:spPr>
            <a:xfrm>
              <a:off x="10043160" y="10260330"/>
              <a:ext cx="18396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sub>
                    </m:sSub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68" name="TextBox 67"/>
            <xdr:cNvSpPr txBox="1"/>
          </xdr:nvSpPr>
          <xdr:spPr>
            <a:xfrm>
              <a:off x="10043160" y="10260330"/>
              <a:ext cx="18396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𝑝_𝑋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9</xdr:col>
      <xdr:colOff>403860</xdr:colOff>
      <xdr:row>107</xdr:row>
      <xdr:rowOff>179070</xdr:rowOff>
    </xdr:from>
    <xdr:ext cx="17453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" name="TextBox 68"/>
            <xdr:cNvSpPr txBox="1"/>
          </xdr:nvSpPr>
          <xdr:spPr>
            <a:xfrm>
              <a:off x="7642860" y="13948410"/>
              <a:ext cx="17453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𝑞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69" name="TextBox 68"/>
            <xdr:cNvSpPr txBox="1"/>
          </xdr:nvSpPr>
          <xdr:spPr>
            <a:xfrm>
              <a:off x="7642860" y="13948410"/>
              <a:ext cx="17453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𝑞_𝑥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10</xdr:col>
      <xdr:colOff>411480</xdr:colOff>
      <xdr:row>108</xdr:row>
      <xdr:rowOff>3810</xdr:rowOff>
    </xdr:from>
    <xdr:ext cx="14587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" name="TextBox 69"/>
            <xdr:cNvSpPr txBox="1"/>
          </xdr:nvSpPr>
          <xdr:spPr>
            <a:xfrm>
              <a:off x="8656320" y="13956030"/>
              <a:ext cx="14587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</m:oMath>
                </m:oMathPara>
              </a14:m>
              <a:endParaRPr lang="en-US" sz="1100" b="0"/>
            </a:p>
          </xdr:txBody>
        </xdr:sp>
      </mc:Choice>
      <mc:Fallback xmlns="">
        <xdr:sp macro="" textlink="">
          <xdr:nvSpPr>
            <xdr:cNvPr id="70" name="TextBox 69"/>
            <xdr:cNvSpPr txBox="1"/>
          </xdr:nvSpPr>
          <xdr:spPr>
            <a:xfrm>
              <a:off x="8656320" y="13956030"/>
              <a:ext cx="14587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𝑙_𝑥</a:t>
              </a:r>
              <a:endParaRPr lang="en-US" sz="1100" b="0"/>
            </a:p>
          </xdr:txBody>
        </xdr:sp>
      </mc:Fallback>
    </mc:AlternateContent>
    <xdr:clientData/>
  </xdr:oneCellAnchor>
  <xdr:oneCellAnchor>
    <xdr:from>
      <xdr:col>11</xdr:col>
      <xdr:colOff>236220</xdr:colOff>
      <xdr:row>108</xdr:row>
      <xdr:rowOff>11430</xdr:rowOff>
    </xdr:from>
    <xdr:ext cx="18306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" name="TextBox 70"/>
            <xdr:cNvSpPr txBox="1"/>
          </xdr:nvSpPr>
          <xdr:spPr>
            <a:xfrm>
              <a:off x="9395460" y="13963650"/>
              <a:ext cx="18306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71" name="TextBox 70"/>
            <xdr:cNvSpPr txBox="1"/>
          </xdr:nvSpPr>
          <xdr:spPr>
            <a:xfrm>
              <a:off x="9395460" y="13963650"/>
              <a:ext cx="18306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𝑑_𝑥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12</xdr:col>
      <xdr:colOff>274320</xdr:colOff>
      <xdr:row>107</xdr:row>
      <xdr:rowOff>255270</xdr:rowOff>
    </xdr:from>
    <xdr:ext cx="18396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" name="TextBox 71"/>
            <xdr:cNvSpPr txBox="1"/>
          </xdr:nvSpPr>
          <xdr:spPr>
            <a:xfrm>
              <a:off x="10043160" y="13948410"/>
              <a:ext cx="18396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sub>
                    </m:sSub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72" name="TextBox 71"/>
            <xdr:cNvSpPr txBox="1"/>
          </xdr:nvSpPr>
          <xdr:spPr>
            <a:xfrm>
              <a:off x="10043160" y="13948410"/>
              <a:ext cx="18396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𝑝_𝑋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9</xdr:col>
      <xdr:colOff>403860</xdr:colOff>
      <xdr:row>121</xdr:row>
      <xdr:rowOff>179070</xdr:rowOff>
    </xdr:from>
    <xdr:ext cx="17453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" name="TextBox 72"/>
            <xdr:cNvSpPr txBox="1"/>
          </xdr:nvSpPr>
          <xdr:spPr>
            <a:xfrm>
              <a:off x="7642860" y="16508730"/>
              <a:ext cx="17453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𝑞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73" name="TextBox 72"/>
            <xdr:cNvSpPr txBox="1"/>
          </xdr:nvSpPr>
          <xdr:spPr>
            <a:xfrm>
              <a:off x="7642860" y="16508730"/>
              <a:ext cx="17453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𝑞_𝑥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10</xdr:col>
      <xdr:colOff>411480</xdr:colOff>
      <xdr:row>122</xdr:row>
      <xdr:rowOff>3810</xdr:rowOff>
    </xdr:from>
    <xdr:ext cx="14587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4" name="TextBox 73"/>
            <xdr:cNvSpPr txBox="1"/>
          </xdr:nvSpPr>
          <xdr:spPr>
            <a:xfrm>
              <a:off x="8656320" y="16516350"/>
              <a:ext cx="14587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</m:oMath>
                </m:oMathPara>
              </a14:m>
              <a:endParaRPr lang="en-US" sz="1100" b="0"/>
            </a:p>
          </xdr:txBody>
        </xdr:sp>
      </mc:Choice>
      <mc:Fallback xmlns="">
        <xdr:sp macro="" textlink="">
          <xdr:nvSpPr>
            <xdr:cNvPr id="74" name="TextBox 73"/>
            <xdr:cNvSpPr txBox="1"/>
          </xdr:nvSpPr>
          <xdr:spPr>
            <a:xfrm>
              <a:off x="8656320" y="16516350"/>
              <a:ext cx="14587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𝑙_𝑥</a:t>
              </a:r>
              <a:endParaRPr lang="en-US" sz="1100" b="0"/>
            </a:p>
          </xdr:txBody>
        </xdr:sp>
      </mc:Fallback>
    </mc:AlternateContent>
    <xdr:clientData/>
  </xdr:oneCellAnchor>
  <xdr:oneCellAnchor>
    <xdr:from>
      <xdr:col>11</xdr:col>
      <xdr:colOff>236220</xdr:colOff>
      <xdr:row>122</xdr:row>
      <xdr:rowOff>11430</xdr:rowOff>
    </xdr:from>
    <xdr:ext cx="18306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5" name="TextBox 74"/>
            <xdr:cNvSpPr txBox="1"/>
          </xdr:nvSpPr>
          <xdr:spPr>
            <a:xfrm>
              <a:off x="9395460" y="16523970"/>
              <a:ext cx="18306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75" name="TextBox 74"/>
            <xdr:cNvSpPr txBox="1"/>
          </xdr:nvSpPr>
          <xdr:spPr>
            <a:xfrm>
              <a:off x="9395460" y="16523970"/>
              <a:ext cx="18306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𝑑_𝑥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12</xdr:col>
      <xdr:colOff>274320</xdr:colOff>
      <xdr:row>121</xdr:row>
      <xdr:rowOff>255270</xdr:rowOff>
    </xdr:from>
    <xdr:ext cx="18396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6" name="TextBox 75"/>
            <xdr:cNvSpPr txBox="1"/>
          </xdr:nvSpPr>
          <xdr:spPr>
            <a:xfrm>
              <a:off x="10043160" y="16508730"/>
              <a:ext cx="18396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sub>
                    </m:sSub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76" name="TextBox 75"/>
            <xdr:cNvSpPr txBox="1"/>
          </xdr:nvSpPr>
          <xdr:spPr>
            <a:xfrm>
              <a:off x="10043160" y="16508730"/>
              <a:ext cx="18396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𝑝_𝑋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9</xdr:col>
      <xdr:colOff>403860</xdr:colOff>
      <xdr:row>139</xdr:row>
      <xdr:rowOff>179070</xdr:rowOff>
    </xdr:from>
    <xdr:ext cx="17453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7" name="TextBox 76"/>
            <xdr:cNvSpPr txBox="1"/>
          </xdr:nvSpPr>
          <xdr:spPr>
            <a:xfrm>
              <a:off x="7632563" y="20083746"/>
              <a:ext cx="17453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𝑞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77" name="TextBox 76"/>
            <xdr:cNvSpPr txBox="1"/>
          </xdr:nvSpPr>
          <xdr:spPr>
            <a:xfrm>
              <a:off x="7632563" y="20083746"/>
              <a:ext cx="17453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𝑞_𝑥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10</xdr:col>
      <xdr:colOff>411480</xdr:colOff>
      <xdr:row>140</xdr:row>
      <xdr:rowOff>3810</xdr:rowOff>
    </xdr:from>
    <xdr:ext cx="14587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8" name="TextBox 77"/>
            <xdr:cNvSpPr txBox="1"/>
          </xdr:nvSpPr>
          <xdr:spPr>
            <a:xfrm>
              <a:off x="8649318" y="20093837"/>
              <a:ext cx="14587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</m:oMath>
                </m:oMathPara>
              </a14:m>
              <a:endParaRPr lang="en-US" sz="1100" b="0"/>
            </a:p>
          </xdr:txBody>
        </xdr:sp>
      </mc:Choice>
      <mc:Fallback xmlns="">
        <xdr:sp macro="" textlink="">
          <xdr:nvSpPr>
            <xdr:cNvPr id="78" name="TextBox 77"/>
            <xdr:cNvSpPr txBox="1"/>
          </xdr:nvSpPr>
          <xdr:spPr>
            <a:xfrm>
              <a:off x="8649318" y="20093837"/>
              <a:ext cx="14587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𝑙_𝑥</a:t>
              </a:r>
              <a:endParaRPr lang="en-US" sz="1100" b="0"/>
            </a:p>
          </xdr:txBody>
        </xdr:sp>
      </mc:Fallback>
    </mc:AlternateContent>
    <xdr:clientData/>
  </xdr:oneCellAnchor>
  <xdr:oneCellAnchor>
    <xdr:from>
      <xdr:col>11</xdr:col>
      <xdr:colOff>236220</xdr:colOff>
      <xdr:row>140</xdr:row>
      <xdr:rowOff>11430</xdr:rowOff>
    </xdr:from>
    <xdr:ext cx="18306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9" name="TextBox 78"/>
            <xdr:cNvSpPr txBox="1"/>
          </xdr:nvSpPr>
          <xdr:spPr>
            <a:xfrm>
              <a:off x="9390517" y="20101457"/>
              <a:ext cx="18306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79" name="TextBox 78"/>
            <xdr:cNvSpPr txBox="1"/>
          </xdr:nvSpPr>
          <xdr:spPr>
            <a:xfrm>
              <a:off x="9390517" y="20101457"/>
              <a:ext cx="18306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𝑑_𝑥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12</xdr:col>
      <xdr:colOff>274320</xdr:colOff>
      <xdr:row>139</xdr:row>
      <xdr:rowOff>255270</xdr:rowOff>
    </xdr:from>
    <xdr:ext cx="18396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0" name="TextBox 79"/>
            <xdr:cNvSpPr txBox="1"/>
          </xdr:nvSpPr>
          <xdr:spPr>
            <a:xfrm>
              <a:off x="10036158" y="20083746"/>
              <a:ext cx="18396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sub>
                    </m:sSub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80" name="TextBox 79"/>
            <xdr:cNvSpPr txBox="1"/>
          </xdr:nvSpPr>
          <xdr:spPr>
            <a:xfrm>
              <a:off x="10036158" y="20083746"/>
              <a:ext cx="18396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𝑝_𝑋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9</xdr:col>
      <xdr:colOff>403860</xdr:colOff>
      <xdr:row>153</xdr:row>
      <xdr:rowOff>179070</xdr:rowOff>
    </xdr:from>
    <xdr:ext cx="17453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1" name="TextBox 80"/>
            <xdr:cNvSpPr txBox="1"/>
          </xdr:nvSpPr>
          <xdr:spPr>
            <a:xfrm>
              <a:off x="7632563" y="22678665"/>
              <a:ext cx="17453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𝑞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81" name="TextBox 80"/>
            <xdr:cNvSpPr txBox="1"/>
          </xdr:nvSpPr>
          <xdr:spPr>
            <a:xfrm>
              <a:off x="7632563" y="22678665"/>
              <a:ext cx="17453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𝑞_𝑥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10</xdr:col>
      <xdr:colOff>411480</xdr:colOff>
      <xdr:row>154</xdr:row>
      <xdr:rowOff>3810</xdr:rowOff>
    </xdr:from>
    <xdr:ext cx="14587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2" name="TextBox 81"/>
            <xdr:cNvSpPr txBox="1"/>
          </xdr:nvSpPr>
          <xdr:spPr>
            <a:xfrm>
              <a:off x="8649318" y="22688756"/>
              <a:ext cx="14587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</m:oMath>
                </m:oMathPara>
              </a14:m>
              <a:endParaRPr lang="en-US" sz="1100" b="0"/>
            </a:p>
          </xdr:txBody>
        </xdr:sp>
      </mc:Choice>
      <mc:Fallback xmlns="">
        <xdr:sp macro="" textlink="">
          <xdr:nvSpPr>
            <xdr:cNvPr id="82" name="TextBox 81"/>
            <xdr:cNvSpPr txBox="1"/>
          </xdr:nvSpPr>
          <xdr:spPr>
            <a:xfrm>
              <a:off x="8649318" y="22688756"/>
              <a:ext cx="14587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𝑙_𝑥</a:t>
              </a:r>
              <a:endParaRPr lang="en-US" sz="1100" b="0"/>
            </a:p>
          </xdr:txBody>
        </xdr:sp>
      </mc:Fallback>
    </mc:AlternateContent>
    <xdr:clientData/>
  </xdr:oneCellAnchor>
  <xdr:oneCellAnchor>
    <xdr:from>
      <xdr:col>11</xdr:col>
      <xdr:colOff>236220</xdr:colOff>
      <xdr:row>154</xdr:row>
      <xdr:rowOff>11430</xdr:rowOff>
    </xdr:from>
    <xdr:ext cx="18306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3" name="TextBox 82"/>
            <xdr:cNvSpPr txBox="1"/>
          </xdr:nvSpPr>
          <xdr:spPr>
            <a:xfrm>
              <a:off x="9390517" y="22696376"/>
              <a:ext cx="18306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83" name="TextBox 82"/>
            <xdr:cNvSpPr txBox="1"/>
          </xdr:nvSpPr>
          <xdr:spPr>
            <a:xfrm>
              <a:off x="9390517" y="22696376"/>
              <a:ext cx="18306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𝑑_𝑥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12</xdr:col>
      <xdr:colOff>274320</xdr:colOff>
      <xdr:row>153</xdr:row>
      <xdr:rowOff>255270</xdr:rowOff>
    </xdr:from>
    <xdr:ext cx="18396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4" name="TextBox 83"/>
            <xdr:cNvSpPr txBox="1"/>
          </xdr:nvSpPr>
          <xdr:spPr>
            <a:xfrm>
              <a:off x="10036158" y="22678665"/>
              <a:ext cx="18396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sub>
                    </m:sSub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84" name="TextBox 83"/>
            <xdr:cNvSpPr txBox="1"/>
          </xdr:nvSpPr>
          <xdr:spPr>
            <a:xfrm>
              <a:off x="10036158" y="22678665"/>
              <a:ext cx="18396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𝑝_𝑋</a:t>
              </a:r>
              <a:endParaRPr lang="en-IN" sz="11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160020</xdr:colOff>
      <xdr:row>1</xdr:row>
      <xdr:rowOff>129540</xdr:rowOff>
    </xdr:from>
    <xdr:to>
      <xdr:col>19</xdr:col>
      <xdr:colOff>464820</xdr:colOff>
      <xdr:row>17</xdr:row>
      <xdr:rowOff>45720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144780</xdr:colOff>
      <xdr:row>11</xdr:row>
      <xdr:rowOff>80010</xdr:rowOff>
    </xdr:from>
    <xdr:to>
      <xdr:col>9</xdr:col>
      <xdr:colOff>883920</xdr:colOff>
      <xdr:row>26</xdr:row>
      <xdr:rowOff>72390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228600</xdr:colOff>
      <xdr:row>6</xdr:row>
      <xdr:rowOff>163830</xdr:rowOff>
    </xdr:from>
    <xdr:ext cx="17453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/>
            <xdr:cNvSpPr txBox="1"/>
          </xdr:nvSpPr>
          <xdr:spPr>
            <a:xfrm>
              <a:off x="5783580" y="1261110"/>
              <a:ext cx="17453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𝑞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2" name="TextBox 1"/>
            <xdr:cNvSpPr txBox="1"/>
          </xdr:nvSpPr>
          <xdr:spPr>
            <a:xfrm>
              <a:off x="5783580" y="1261110"/>
              <a:ext cx="17453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𝑞_𝑥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8</xdr:col>
      <xdr:colOff>266700</xdr:colOff>
      <xdr:row>7</xdr:row>
      <xdr:rowOff>3810</xdr:rowOff>
    </xdr:from>
    <xdr:ext cx="14587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/>
            <xdr:cNvSpPr txBox="1"/>
          </xdr:nvSpPr>
          <xdr:spPr>
            <a:xfrm>
              <a:off x="6431280" y="1283970"/>
              <a:ext cx="14587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</m:oMath>
                </m:oMathPara>
              </a14:m>
              <a:endParaRPr lang="en-US" sz="1100" b="0"/>
            </a:p>
          </xdr:txBody>
        </xdr:sp>
      </mc:Choice>
      <mc:Fallback xmlns="">
        <xdr:sp macro="" textlink="">
          <xdr:nvSpPr>
            <xdr:cNvPr id="3" name="TextBox 2"/>
            <xdr:cNvSpPr txBox="1"/>
          </xdr:nvSpPr>
          <xdr:spPr>
            <a:xfrm>
              <a:off x="6431280" y="1283970"/>
              <a:ext cx="14587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𝑙_𝑥</a:t>
              </a:r>
              <a:endParaRPr lang="en-US" sz="1100" b="0"/>
            </a:p>
          </xdr:txBody>
        </xdr:sp>
      </mc:Fallback>
    </mc:AlternateContent>
    <xdr:clientData/>
  </xdr:oneCellAnchor>
  <xdr:oneCellAnchor>
    <xdr:from>
      <xdr:col>9</xdr:col>
      <xdr:colOff>220980</xdr:colOff>
      <xdr:row>7</xdr:row>
      <xdr:rowOff>11430</xdr:rowOff>
    </xdr:from>
    <xdr:ext cx="18306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/>
            <xdr:cNvSpPr txBox="1"/>
          </xdr:nvSpPr>
          <xdr:spPr>
            <a:xfrm>
              <a:off x="6995160" y="1291590"/>
              <a:ext cx="18306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4" name="TextBox 3"/>
            <xdr:cNvSpPr txBox="1"/>
          </xdr:nvSpPr>
          <xdr:spPr>
            <a:xfrm>
              <a:off x="6995160" y="1291590"/>
              <a:ext cx="18306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𝑑_𝑥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10</xdr:col>
      <xdr:colOff>213360</xdr:colOff>
      <xdr:row>6</xdr:row>
      <xdr:rowOff>171450</xdr:rowOff>
    </xdr:from>
    <xdr:ext cx="18396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/>
            <xdr:cNvSpPr txBox="1"/>
          </xdr:nvSpPr>
          <xdr:spPr>
            <a:xfrm>
              <a:off x="7597140" y="1268730"/>
              <a:ext cx="18396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sub>
                    </m:sSub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5" name="TextBox 4"/>
            <xdr:cNvSpPr txBox="1"/>
          </xdr:nvSpPr>
          <xdr:spPr>
            <a:xfrm>
              <a:off x="7597140" y="1268730"/>
              <a:ext cx="18396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𝑝_𝑋</a:t>
              </a:r>
              <a:endParaRPr lang="en-IN" sz="1100"/>
            </a:p>
          </xdr:txBody>
        </xdr:sp>
      </mc:Fallback>
    </mc:AlternateContent>
    <xdr:clientData/>
  </xdr:oneCellAnchor>
  <xdr:twoCellAnchor>
    <xdr:from>
      <xdr:col>18</xdr:col>
      <xdr:colOff>144780</xdr:colOff>
      <xdr:row>15</xdr:row>
      <xdr:rowOff>87630</xdr:rowOff>
    </xdr:from>
    <xdr:to>
      <xdr:col>24</xdr:col>
      <xdr:colOff>480060</xdr:colOff>
      <xdr:row>30</xdr:row>
      <xdr:rowOff>87630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106680</xdr:colOff>
      <xdr:row>11</xdr:row>
      <xdr:rowOff>80010</xdr:rowOff>
    </xdr:from>
    <xdr:to>
      <xdr:col>31</xdr:col>
      <xdr:colOff>480060</xdr:colOff>
      <xdr:row>24</xdr:row>
      <xdr:rowOff>83820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arshil" refreshedDate="46193.123798148146" createdVersion="6" refreshedVersion="6" minRefreshableVersion="3" recordCount="116">
  <cacheSource type="worksheet">
    <worksheetSource ref="F4:G118" sheet="IALM Comparison"/>
  </cacheSource>
  <cacheFields count="2">
    <cacheField name="Age" numFmtId="0">
      <sharedItems containsSemiMixedTypes="0" containsString="0" containsNumber="1" containsInteger="1" minValue="0" maxValue="115" count="116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</sharedItems>
      <fieldGroup base="0">
        <rangePr startNum="0" endNum="115" groupInterval="10"/>
        <groupItems count="14">
          <s v="&lt;0"/>
          <s v="0-9"/>
          <s v="10-19"/>
          <s v="20-29"/>
          <s v="30-39"/>
          <s v="40-49"/>
          <s v="50-59"/>
          <s v="60-69"/>
          <s v="70-79"/>
          <s v="80-89"/>
          <s v="90-99"/>
          <s v="100-109"/>
          <s v="110-119"/>
          <s v="&gt;120"/>
        </groupItems>
      </fieldGroup>
    </cacheField>
    <cacheField name="Improvement" numFmtId="10">
      <sharedItems containsString="0" containsBlank="1" containsNumber="1" minValue="-0.27630700707253514" maxValue="0.8537549407114624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6">
  <r>
    <x v="0"/>
    <m/>
  </r>
  <r>
    <x v="1"/>
    <m/>
  </r>
  <r>
    <x v="2"/>
    <n v="0.68824531516183984"/>
  </r>
  <r>
    <x v="3"/>
    <n v="0.78752260397830021"/>
  </r>
  <r>
    <x v="4"/>
    <n v="0.83772455089820363"/>
  </r>
  <r>
    <x v="5"/>
    <n v="0.85375494071146241"/>
  </r>
  <r>
    <x v="6"/>
    <n v="0.84232365145228216"/>
  </r>
  <r>
    <x v="7"/>
    <n v="0.79973118279569899"/>
  </r>
  <r>
    <x v="8"/>
    <n v="0.7169491525423729"/>
  </r>
  <r>
    <x v="9"/>
    <n v="0.58130081300813008"/>
  </r>
  <r>
    <x v="10"/>
    <n v="0.39772727272727276"/>
  </r>
  <r>
    <x v="11"/>
    <n v="0.20327102803738317"/>
  </r>
  <r>
    <x v="12"/>
    <n v="4.2410714285714225E-2"/>
  </r>
  <r>
    <x v="13"/>
    <n v="-6.3136456211812617E-2"/>
  </r>
  <r>
    <x v="14"/>
    <n v="-0.11839708561020028"/>
  </r>
  <r>
    <x v="15"/>
    <n v="-0.13680781758957669"/>
  </r>
  <r>
    <x v="16"/>
    <n v="-0.13235294117647045"/>
  </r>
  <r>
    <x v="17"/>
    <n v="-0.11574697173620463"/>
  </r>
  <r>
    <x v="18"/>
    <n v="-9.2499999999999943E-2"/>
  </r>
  <r>
    <x v="19"/>
    <n v="-6.7216981132075443E-2"/>
  </r>
  <r>
    <x v="20"/>
    <n v="-4.054054054054055E-2"/>
  </r>
  <r>
    <x v="21"/>
    <n v="-1.6322089227421153E-2"/>
  </r>
  <r>
    <x v="22"/>
    <n v="6.3626723223754369E-3"/>
  </r>
  <r>
    <x v="23"/>
    <n v="2.601456815816864E-2"/>
  </r>
  <r>
    <x v="24"/>
    <n v="4.2094455852156078E-2"/>
  </r>
  <r>
    <x v="25"/>
    <n v="5.3861788617886271E-2"/>
  </r>
  <r>
    <x v="26"/>
    <n v="6.3380281690140955E-2"/>
  </r>
  <r>
    <x v="27"/>
    <n v="6.9721115537848474E-2"/>
  </r>
  <r>
    <x v="28"/>
    <n v="7.374631268436567E-2"/>
  </r>
  <r>
    <x v="29"/>
    <n v="7.5435203094777512E-2"/>
  </r>
  <r>
    <x v="30"/>
    <n v="7.4810606060606133E-2"/>
  </r>
  <r>
    <x v="31"/>
    <n v="7.2878228782287696E-2"/>
  </r>
  <r>
    <x v="32"/>
    <n v="6.8811438784629156E-2"/>
  </r>
  <r>
    <x v="33"/>
    <n v="6.7010309278350652E-2"/>
  </r>
  <r>
    <x v="34"/>
    <n v="6.4039408866995037E-2"/>
  </r>
  <r>
    <x v="35"/>
    <n v="6.2402496099843989E-2"/>
  </r>
  <r>
    <x v="36"/>
    <n v="6.1119293078055928E-2"/>
  </r>
  <r>
    <x v="37"/>
    <n v="6.1506565307532748E-2"/>
  </r>
  <r>
    <x v="38"/>
    <n v="6.1975468043899258E-2"/>
  </r>
  <r>
    <x v="39"/>
    <n v="6.4187162567486564E-2"/>
  </r>
  <r>
    <x v="40"/>
    <n v="6.8219633943427532E-2"/>
  </r>
  <r>
    <x v="41"/>
    <n v="7.3506891271056571E-2"/>
  </r>
  <r>
    <x v="42"/>
    <n v="7.9906542056074836E-2"/>
  </r>
  <r>
    <x v="43"/>
    <n v="8.7659574468085116E-2"/>
  </r>
  <r>
    <x v="44"/>
    <n v="9.5642113382182786E-2"/>
  </r>
  <r>
    <x v="45"/>
    <n v="0.10264439805149607"/>
  </r>
  <r>
    <x v="46"/>
    <n v="0.10822646230841425"/>
  </r>
  <r>
    <x v="47"/>
    <n v="0.11185870479394451"/>
  </r>
  <r>
    <x v="48"/>
    <n v="0.11222696459954816"/>
  </r>
  <r>
    <x v="49"/>
    <n v="0.10936093609360943"/>
  </r>
  <r>
    <x v="50"/>
    <n v="0.10311362717347353"/>
  </r>
  <r>
    <x v="51"/>
    <n v="9.3744300565383853E-2"/>
  </r>
  <r>
    <x v="52"/>
    <n v="8.2796232027763955E-2"/>
  </r>
  <r>
    <x v="53"/>
    <n v="7.0600632244467831E-2"/>
  </r>
  <r>
    <x v="54"/>
    <n v="5.8572216097023157E-2"/>
  </r>
  <r>
    <x v="55"/>
    <n v="4.7540567951318398E-2"/>
  </r>
  <r>
    <x v="56"/>
    <n v="3.8745171485426631E-2"/>
  </r>
  <r>
    <x v="57"/>
    <n v="3.2520325203252022E-2"/>
  </r>
  <r>
    <x v="58"/>
    <n v="2.9465004022526133E-2"/>
  </r>
  <r>
    <x v="59"/>
    <n v="2.950789055934264E-2"/>
  </r>
  <r>
    <x v="60"/>
    <n v="3.2252470955436166E-2"/>
  </r>
  <r>
    <x v="61"/>
    <n v="3.7165151637036355E-2"/>
  </r>
  <r>
    <x v="62"/>
    <n v="4.3462054569852408E-2"/>
  </r>
  <r>
    <x v="63"/>
    <n v="5.0493205490791199E-2"/>
  </r>
  <r>
    <x v="64"/>
    <n v="5.729399018545666E-2"/>
  </r>
  <r>
    <x v="65"/>
    <n v="6.331941913104816E-2"/>
  </r>
  <r>
    <x v="66"/>
    <n v="6.8031632542519788E-2"/>
  </r>
  <r>
    <x v="67"/>
    <n v="7.1083196251433139E-2"/>
  </r>
  <r>
    <x v="68"/>
    <n v="7.2368119528851027E-2"/>
  </r>
  <r>
    <x v="69"/>
    <n v="7.1843678935399613E-2"/>
  </r>
  <r>
    <x v="70"/>
    <n v="6.9502997485979504E-2"/>
  </r>
  <r>
    <x v="71"/>
    <n v="6.5520792641784134E-2"/>
  </r>
  <r>
    <x v="72"/>
    <n v="6.0020213216835622E-2"/>
  </r>
  <r>
    <x v="73"/>
    <n v="5.3094696516221652E-2"/>
  </r>
  <r>
    <x v="74"/>
    <n v="4.4979941748639868E-2"/>
  </r>
  <r>
    <x v="75"/>
    <n v="3.5724197088578873E-2"/>
  </r>
  <r>
    <x v="76"/>
    <n v="2.5508549186784621E-2"/>
  </r>
  <r>
    <x v="77"/>
    <n v="1.4364452767551128E-2"/>
  </r>
  <r>
    <x v="78"/>
    <n v="2.4438405442921683E-3"/>
  </r>
  <r>
    <x v="79"/>
    <n v="-1.0222413855053718E-2"/>
  </r>
  <r>
    <x v="80"/>
    <n v="-2.3564186399815015E-2"/>
  </r>
  <r>
    <x v="81"/>
    <n v="-3.7467739486868046E-2"/>
  </r>
  <r>
    <x v="82"/>
    <n v="-5.1933547396342331E-2"/>
  </r>
  <r>
    <x v="83"/>
    <n v="-6.6849863886178057E-2"/>
  </r>
  <r>
    <x v="84"/>
    <n v="-8.2178510248685735E-2"/>
  </r>
  <r>
    <x v="85"/>
    <n v="-9.7812615511730622E-2"/>
  </r>
  <r>
    <x v="86"/>
    <n v="-0.11368958270789548"/>
  </r>
  <r>
    <x v="87"/>
    <n v="-0.12968490878938646"/>
  </r>
  <r>
    <x v="88"/>
    <n v="-0.14568238508136352"/>
  </r>
  <r>
    <x v="89"/>
    <n v="-0.16157795612794323"/>
  </r>
  <r>
    <x v="90"/>
    <n v="-0.17719860326145667"/>
  </r>
  <r>
    <x v="91"/>
    <n v="-0.19239419612942602"/>
  </r>
  <r>
    <x v="92"/>
    <n v="-0.20698089670523193"/>
  </r>
  <r>
    <x v="93"/>
    <n v="-0.22076025864353083"/>
  </r>
  <r>
    <x v="94"/>
    <n v="-0.23354507365860264"/>
  </r>
  <r>
    <x v="95"/>
    <n v="-0.24508473763693459"/>
  </r>
  <r>
    <x v="96"/>
    <n v="-0.25517659233837786"/>
  </r>
  <r>
    <x v="97"/>
    <n v="-0.26356873834502403"/>
  </r>
  <r>
    <x v="98"/>
    <n v="-0.27003822183728415"/>
  </r>
  <r>
    <x v="99"/>
    <n v="-0.27435270890757368"/>
  </r>
  <r>
    <x v="100"/>
    <n v="-0.27630700707253514"/>
  </r>
  <r>
    <x v="101"/>
    <n v="-0.27570951932251198"/>
  </r>
  <r>
    <x v="102"/>
    <n v="-0.27240285596219049"/>
  </r>
  <r>
    <x v="103"/>
    <n v="-0.26626168862193705"/>
  </r>
  <r>
    <x v="104"/>
    <n v="-0.25720945549838498"/>
  </r>
  <r>
    <x v="105"/>
    <n v="-0.24521558208349603"/>
  </r>
  <r>
    <x v="106"/>
    <n v="-0.23031011494161147"/>
  </r>
  <r>
    <x v="107"/>
    <n v="-0.21256205235633002"/>
  </r>
  <r>
    <x v="108"/>
    <n v="-0.19210899617401736"/>
  </r>
  <r>
    <x v="109"/>
    <n v="-0.1691320690459823"/>
  </r>
  <r>
    <x v="110"/>
    <n v="-0.1438539848367523"/>
  </r>
  <r>
    <x v="111"/>
    <n v="-0.11654118602477052"/>
  </r>
  <r>
    <x v="112"/>
    <n v="-8.7487253351572841E-2"/>
  </r>
  <r>
    <x v="113"/>
    <n v="-5.6999636172535076E-2"/>
  </r>
  <r>
    <x v="114"/>
    <n v="-2.5400527872592244E-2"/>
  </r>
  <r>
    <x v="115"/>
    <n v="-1.4408660615380865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0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R6:S19" firstHeaderRow="1" firstDataRow="1" firstDataCol="1"/>
  <pivotFields count="2"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</pivotFields>
  <rowFields count="1"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Average of Improvement" fld="1" subtotal="average" baseField="0" baseItem="0"/>
  </dataFields>
  <formats count="24">
    <format dxfId="23">
      <pivotArea collapsedLevelsAreSubtotals="1" fieldPosition="0">
        <references count="1">
          <reference field="0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0" type="button" dataOnly="0" labelOnly="1" outline="0" axis="axisRow" fieldPosition="0"/>
    </format>
    <format dxfId="19">
      <pivotArea dataOnly="0" labelOnly="1" outline="0" axis="axisValues" fieldPosition="0"/>
    </format>
    <format dxfId="18">
      <pivotArea dataOnly="0" labelOnly="1" fieldPosition="0">
        <references count="1">
          <reference field="0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7">
      <pivotArea dataOnly="0" labelOnly="1" grandRow="1" outline="0" fieldPosition="0"/>
    </format>
    <format dxfId="16">
      <pivotArea dataOnly="0" labelOnly="1" outline="0" axis="axisValues" fieldPosition="0"/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0" type="button" dataOnly="0" labelOnly="1" outline="0" axis="axisRow" fieldPosition="0"/>
    </format>
    <format dxfId="12">
      <pivotArea dataOnly="0" labelOnly="1" outline="0" axis="axisValues" fieldPosition="0"/>
    </format>
    <format dxfId="11">
      <pivotArea dataOnly="0" labelOnly="1" fieldPosition="0">
        <references count="1">
          <reference field="0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0">
      <pivotArea dataOnly="0" labelOnly="1" grandRow="1" outline="0" fieldPosition="0"/>
    </format>
    <format dxfId="9">
      <pivotArea dataOnly="0" labelOnly="1" outline="0" axis="axisValues" fieldPosition="0"/>
    </format>
    <format dxfId="8">
      <pivotArea outline="0" collapsedLevelsAreSubtotals="1" fieldPosition="0"/>
    </format>
    <format dxfId="7">
      <pivotArea outline="0" collapsedLevelsAreSubtotals="1" fieldPosition="0"/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0" type="button" dataOnly="0" labelOnly="1" outline="0" axis="axisRow" fieldPosition="0"/>
    </format>
    <format dxfId="3">
      <pivotArea dataOnly="0" labelOnly="1" outline="0" axis="axisValues" fieldPosition="0"/>
    </format>
    <format dxfId="2">
      <pivotArea dataOnly="0" labelOnly="1" fieldPosition="0">
        <references count="1">
          <reference field="0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Q118"/>
  <sheetViews>
    <sheetView showGridLines="0" tabSelected="1" zoomScale="80" zoomScaleNormal="80" workbookViewId="0">
      <selection activeCell="H2" sqref="H2"/>
    </sheetView>
  </sheetViews>
  <sheetFormatPr defaultRowHeight="14.4" x14ac:dyDescent="0.3"/>
  <cols>
    <col min="3" max="4" width="12.5546875" bestFit="1" customWidth="1"/>
    <col min="5" max="5" width="3.33203125" customWidth="1"/>
    <col min="6" max="6" width="8.88671875" customWidth="1"/>
    <col min="7" max="7" width="12.5546875" bestFit="1" customWidth="1"/>
    <col min="8" max="8" width="11.44140625" bestFit="1" customWidth="1"/>
    <col min="10" max="10" width="18.33203125" bestFit="1" customWidth="1"/>
    <col min="17" max="17" width="10.5546875" bestFit="1" customWidth="1"/>
    <col min="18" max="18" width="12.5546875" bestFit="1" customWidth="1"/>
    <col min="19" max="19" width="22.44140625" bestFit="1" customWidth="1"/>
  </cols>
  <sheetData>
    <row r="2" spans="2:43" x14ac:dyDescent="0.3">
      <c r="J2" s="5" t="s">
        <v>4</v>
      </c>
      <c r="AE2" s="220" t="s">
        <v>28</v>
      </c>
      <c r="AF2" s="220"/>
      <c r="AG2" s="220"/>
      <c r="AH2" s="220"/>
      <c r="AI2" s="220"/>
      <c r="AJ2" s="220"/>
      <c r="AL2" s="220" t="s">
        <v>29</v>
      </c>
      <c r="AM2" s="220"/>
      <c r="AN2" s="220"/>
      <c r="AO2" s="220"/>
      <c r="AP2" s="220"/>
      <c r="AQ2" s="220"/>
    </row>
    <row r="3" spans="2:43" ht="15" thickBot="1" x14ac:dyDescent="0.35">
      <c r="J3" s="6" t="s">
        <v>24</v>
      </c>
      <c r="AE3" s="220"/>
      <c r="AF3" s="220"/>
      <c r="AG3" s="220"/>
      <c r="AH3" s="220"/>
      <c r="AI3" s="220"/>
      <c r="AJ3" s="220"/>
      <c r="AL3" s="220"/>
      <c r="AM3" s="220"/>
      <c r="AN3" s="220"/>
      <c r="AO3" s="220"/>
      <c r="AP3" s="220"/>
      <c r="AQ3" s="220"/>
    </row>
    <row r="4" spans="2:43" ht="14.4" customHeight="1" thickBot="1" x14ac:dyDescent="0.35">
      <c r="B4" s="10" t="s">
        <v>0</v>
      </c>
      <c r="C4" s="11" t="s">
        <v>1</v>
      </c>
      <c r="D4" s="11" t="s">
        <v>2</v>
      </c>
      <c r="E4" s="2"/>
      <c r="F4" s="8" t="s">
        <v>0</v>
      </c>
      <c r="G4" s="9" t="s">
        <v>3</v>
      </c>
      <c r="H4" s="32" t="s">
        <v>26</v>
      </c>
      <c r="I4" s="1"/>
      <c r="J4" s="6" t="s">
        <v>25</v>
      </c>
      <c r="Q4" s="7"/>
      <c r="AE4" s="68" t="s">
        <v>0</v>
      </c>
      <c r="AF4" s="68"/>
      <c r="AG4" s="68"/>
      <c r="AH4" s="68"/>
      <c r="AI4" s="68"/>
      <c r="AJ4" s="68" t="s">
        <v>27</v>
      </c>
      <c r="AL4" s="68" t="s">
        <v>0</v>
      </c>
      <c r="AM4" s="68"/>
      <c r="AN4" s="68"/>
      <c r="AO4" s="68"/>
      <c r="AP4" s="68"/>
      <c r="AQ4" s="68" t="s">
        <v>27</v>
      </c>
    </row>
    <row r="5" spans="2:43" ht="15" thickBot="1" x14ac:dyDescent="0.35">
      <c r="B5" s="16">
        <v>2</v>
      </c>
      <c r="C5" s="14">
        <v>2.9350000000000001E-3</v>
      </c>
      <c r="D5" s="12">
        <v>9.1500000000000001E-4</v>
      </c>
      <c r="E5" s="3"/>
      <c r="F5" s="20">
        <v>2</v>
      </c>
      <c r="G5" s="18">
        <f t="shared" ref="G5:G36" si="0">(C5-D5)/C5</f>
        <v>0.68824531516183984</v>
      </c>
      <c r="H5" s="22" t="str">
        <f>IF(G5&gt;0,"Improved","Deteriorated")</f>
        <v>Improved</v>
      </c>
      <c r="R5" s="31"/>
      <c r="S5" s="31"/>
      <c r="AE5" s="65">
        <v>2</v>
      </c>
      <c r="AF5" s="66">
        <v>2.9350000000000001E-3</v>
      </c>
      <c r="AG5" s="67">
        <f>10000</f>
        <v>10000</v>
      </c>
      <c r="AH5" s="67">
        <f>AG5*AF5</f>
        <v>29.35</v>
      </c>
      <c r="AI5" s="66">
        <f>1-AF5</f>
        <v>0.99706499999999998</v>
      </c>
      <c r="AJ5" s="66">
        <f>-LN(AI5)</f>
        <v>2.9393155586783623E-3</v>
      </c>
      <c r="AL5" s="65">
        <v>2</v>
      </c>
      <c r="AM5" s="66">
        <v>9.1500000000000001E-4</v>
      </c>
      <c r="AN5" s="67">
        <f>10000</f>
        <v>10000</v>
      </c>
      <c r="AO5" s="67">
        <f>AN5*AM5</f>
        <v>9.15</v>
      </c>
      <c r="AP5" s="66">
        <f>1-AM5</f>
        <v>0.999085</v>
      </c>
      <c r="AQ5" s="66">
        <f>IFERROR(-LN(AP5),"N/A")</f>
        <v>9.1541886802898895E-4</v>
      </c>
    </row>
    <row r="6" spans="2:43" ht="15" thickTop="1" x14ac:dyDescent="0.3">
      <c r="B6" s="16">
        <v>3</v>
      </c>
      <c r="C6" s="14">
        <v>2.212E-3</v>
      </c>
      <c r="D6" s="12">
        <v>4.6999999999999999E-4</v>
      </c>
      <c r="E6" s="3"/>
      <c r="F6" s="20">
        <v>3</v>
      </c>
      <c r="G6" s="18">
        <f t="shared" si="0"/>
        <v>0.78752260397830021</v>
      </c>
      <c r="H6" s="18" t="str">
        <f t="shared" ref="H6:H69" si="1">IF(G6&gt;0,"Improved","Deteriorated")</f>
        <v>Improved</v>
      </c>
      <c r="J6" s="219"/>
      <c r="K6" s="219"/>
      <c r="L6" s="219"/>
      <c r="M6" s="219"/>
      <c r="N6" s="219"/>
      <c r="O6" s="219"/>
      <c r="P6" s="219"/>
      <c r="R6" s="30" t="s">
        <v>5</v>
      </c>
      <c r="S6" s="26" t="s">
        <v>7</v>
      </c>
      <c r="AE6" s="65">
        <v>3</v>
      </c>
      <c r="AF6" s="66">
        <v>2.212E-3</v>
      </c>
      <c r="AG6" s="67">
        <f>AG5-AH5</f>
        <v>9970.65</v>
      </c>
      <c r="AH6" s="67">
        <f t="shared" ref="AH6:AH69" si="2">AG6*AF6</f>
        <v>22.055077799999999</v>
      </c>
      <c r="AI6" s="66">
        <f t="shared" ref="AI6:AI69" si="3">1-AF6</f>
        <v>0.99778800000000001</v>
      </c>
      <c r="AJ6" s="66">
        <f t="shared" ref="AJ6:AJ69" si="4">-LN(AI6)</f>
        <v>2.2144500857265372E-3</v>
      </c>
      <c r="AL6" s="65">
        <v>3</v>
      </c>
      <c r="AM6" s="66">
        <v>4.6999999999999999E-4</v>
      </c>
      <c r="AN6" s="67">
        <f>AN5-AO5</f>
        <v>9990.85</v>
      </c>
      <c r="AO6" s="67">
        <f t="shared" ref="AO6:AO69" si="5">AN6*AM6</f>
        <v>4.6956994999999999</v>
      </c>
      <c r="AP6" s="66">
        <f t="shared" ref="AP6:AP69" si="6">1-AM6</f>
        <v>0.99953000000000003</v>
      </c>
      <c r="AQ6" s="66">
        <f t="shared" ref="AQ6:AQ69" si="7">IFERROR(-LN(AP6),"N/A")</f>
        <v>4.7011048461984088E-4</v>
      </c>
    </row>
    <row r="7" spans="2:43" x14ac:dyDescent="0.3">
      <c r="B7" s="16">
        <v>4</v>
      </c>
      <c r="C7" s="14">
        <v>1.67E-3</v>
      </c>
      <c r="D7" s="12">
        <v>2.7099999999999997E-4</v>
      </c>
      <c r="E7" s="3"/>
      <c r="F7" s="20">
        <v>4</v>
      </c>
      <c r="G7" s="18">
        <f t="shared" si="0"/>
        <v>0.83772455089820363</v>
      </c>
      <c r="H7" s="18" t="str">
        <f t="shared" si="1"/>
        <v>Improved</v>
      </c>
      <c r="J7" s="219"/>
      <c r="K7" s="219"/>
      <c r="L7" s="219"/>
      <c r="M7" s="219"/>
      <c r="N7" s="219"/>
      <c r="O7" s="219"/>
      <c r="P7" s="219"/>
      <c r="R7" s="26" t="s">
        <v>8</v>
      </c>
      <c r="S7" s="27">
        <v>0.76344402631853625</v>
      </c>
      <c r="AE7" s="65">
        <v>4</v>
      </c>
      <c r="AF7" s="66">
        <v>1.67E-3</v>
      </c>
      <c r="AG7" s="67">
        <f t="shared" ref="AG7:AG70" si="8">AG6-AH6</f>
        <v>9948.5949221999999</v>
      </c>
      <c r="AH7" s="67">
        <f t="shared" si="2"/>
        <v>16.614153520074002</v>
      </c>
      <c r="AI7" s="66">
        <f t="shared" si="3"/>
        <v>0.99833000000000005</v>
      </c>
      <c r="AJ7" s="66">
        <f t="shared" si="4"/>
        <v>1.6713960044347081E-3</v>
      </c>
      <c r="AL7" s="65">
        <v>4</v>
      </c>
      <c r="AM7" s="66">
        <v>2.7099999999999997E-4</v>
      </c>
      <c r="AN7" s="67">
        <f t="shared" ref="AN7:AN70" si="9">AN6-AO6</f>
        <v>9986.1543005000003</v>
      </c>
      <c r="AO7" s="67">
        <f t="shared" si="5"/>
        <v>2.7062478154354999</v>
      </c>
      <c r="AP7" s="66">
        <f t="shared" si="6"/>
        <v>0.99972899999999998</v>
      </c>
      <c r="AQ7" s="66">
        <f t="shared" si="7"/>
        <v>2.7103672713554025E-4</v>
      </c>
    </row>
    <row r="8" spans="2:43" x14ac:dyDescent="0.3">
      <c r="B8" s="16">
        <v>5</v>
      </c>
      <c r="C8" s="14">
        <v>1.2650000000000001E-3</v>
      </c>
      <c r="D8" s="12">
        <v>1.85E-4</v>
      </c>
      <c r="E8" s="3"/>
      <c r="F8" s="20">
        <v>5</v>
      </c>
      <c r="G8" s="18">
        <f t="shared" si="0"/>
        <v>0.85375494071146241</v>
      </c>
      <c r="H8" s="18" t="str">
        <f t="shared" si="1"/>
        <v>Improved</v>
      </c>
      <c r="J8" s="219"/>
      <c r="K8" s="219"/>
      <c r="L8" s="219"/>
      <c r="M8" s="219"/>
      <c r="N8" s="219"/>
      <c r="O8" s="219"/>
      <c r="P8" s="219"/>
      <c r="R8" s="26" t="s">
        <v>9</v>
      </c>
      <c r="S8" s="27">
        <v>-8.2749238405969879E-3</v>
      </c>
      <c r="AE8" s="65">
        <v>5</v>
      </c>
      <c r="AF8" s="66">
        <v>1.2650000000000001E-3</v>
      </c>
      <c r="AG8" s="67">
        <f t="shared" si="8"/>
        <v>9931.9807686799268</v>
      </c>
      <c r="AH8" s="67">
        <f t="shared" si="2"/>
        <v>12.563955672380107</v>
      </c>
      <c r="AI8" s="66">
        <f t="shared" si="3"/>
        <v>0.99873500000000004</v>
      </c>
      <c r="AJ8" s="66">
        <f t="shared" si="4"/>
        <v>1.2658007879023307E-3</v>
      </c>
      <c r="AL8" s="65">
        <v>5</v>
      </c>
      <c r="AM8" s="66">
        <v>1.85E-4</v>
      </c>
      <c r="AN8" s="67">
        <f t="shared" si="9"/>
        <v>9983.4480526845655</v>
      </c>
      <c r="AO8" s="67">
        <f t="shared" si="5"/>
        <v>1.8469378897466446</v>
      </c>
      <c r="AP8" s="66">
        <f t="shared" si="6"/>
        <v>0.99981500000000001</v>
      </c>
      <c r="AQ8" s="66">
        <f t="shared" si="7"/>
        <v>1.8501711461082527E-4</v>
      </c>
    </row>
    <row r="9" spans="2:43" x14ac:dyDescent="0.3">
      <c r="B9" s="16">
        <v>6</v>
      </c>
      <c r="C9" s="14">
        <v>9.6400000000000001E-4</v>
      </c>
      <c r="D9" s="12">
        <v>1.5200000000000001E-4</v>
      </c>
      <c r="E9" s="3"/>
      <c r="F9" s="20">
        <v>6</v>
      </c>
      <c r="G9" s="18">
        <f t="shared" si="0"/>
        <v>0.84232365145228216</v>
      </c>
      <c r="H9" s="18" t="str">
        <f t="shared" si="1"/>
        <v>Improved</v>
      </c>
      <c r="J9" s="219"/>
      <c r="K9" s="219"/>
      <c r="L9" s="219"/>
      <c r="M9" s="219"/>
      <c r="N9" s="219"/>
      <c r="O9" s="219"/>
      <c r="P9" s="219"/>
      <c r="R9" s="26" t="s">
        <v>10</v>
      </c>
      <c r="S9" s="27">
        <v>3.5375376818975734E-2</v>
      </c>
      <c r="AE9" s="65">
        <v>6</v>
      </c>
      <c r="AF9" s="66">
        <v>9.6400000000000001E-4</v>
      </c>
      <c r="AG9" s="67">
        <f t="shared" si="8"/>
        <v>9919.4168130075468</v>
      </c>
      <c r="AH9" s="67">
        <f t="shared" si="2"/>
        <v>9.5623178077392748</v>
      </c>
      <c r="AI9" s="66">
        <f t="shared" si="3"/>
        <v>0.99903600000000004</v>
      </c>
      <c r="AJ9" s="66">
        <f t="shared" si="4"/>
        <v>9.6446494682981057E-4</v>
      </c>
      <c r="AL9" s="65">
        <v>6</v>
      </c>
      <c r="AM9" s="66">
        <v>1.5200000000000001E-4</v>
      </c>
      <c r="AN9" s="67">
        <f t="shared" si="9"/>
        <v>9981.6011147948193</v>
      </c>
      <c r="AO9" s="67">
        <f t="shared" si="5"/>
        <v>1.5172033694488125</v>
      </c>
      <c r="AP9" s="66">
        <f t="shared" si="6"/>
        <v>0.99984799999999996</v>
      </c>
      <c r="AQ9" s="66">
        <f t="shared" si="7"/>
        <v>1.5201155317077713E-4</v>
      </c>
    </row>
    <row r="10" spans="2:43" x14ac:dyDescent="0.3">
      <c r="B10" s="16">
        <v>7</v>
      </c>
      <c r="C10" s="14">
        <v>7.4399999999999998E-4</v>
      </c>
      <c r="D10" s="12">
        <v>1.4899999999999999E-4</v>
      </c>
      <c r="E10" s="3"/>
      <c r="F10" s="20">
        <v>7</v>
      </c>
      <c r="G10" s="18">
        <f t="shared" si="0"/>
        <v>0.79973118279569899</v>
      </c>
      <c r="H10" s="18" t="str">
        <f t="shared" si="1"/>
        <v>Improved</v>
      </c>
      <c r="J10" s="219"/>
      <c r="K10" s="219"/>
      <c r="L10" s="219"/>
      <c r="M10" s="219"/>
      <c r="N10" s="219"/>
      <c r="O10" s="219"/>
      <c r="P10" s="219"/>
      <c r="R10" s="26" t="s">
        <v>11</v>
      </c>
      <c r="S10" s="27">
        <v>6.5874097686968724E-2</v>
      </c>
      <c r="AE10" s="65">
        <v>7</v>
      </c>
      <c r="AF10" s="66">
        <v>7.4399999999999998E-4</v>
      </c>
      <c r="AG10" s="67">
        <f t="shared" si="8"/>
        <v>9909.8544951998083</v>
      </c>
      <c r="AH10" s="67">
        <f t="shared" si="2"/>
        <v>7.3729317444286568</v>
      </c>
      <c r="AI10" s="66">
        <f t="shared" si="3"/>
        <v>0.99925600000000003</v>
      </c>
      <c r="AJ10" s="66">
        <f t="shared" si="4"/>
        <v>7.4427690535354104E-4</v>
      </c>
      <c r="AL10" s="65">
        <v>7</v>
      </c>
      <c r="AM10" s="66">
        <v>1.4899999999999999E-4</v>
      </c>
      <c r="AN10" s="67">
        <f t="shared" si="9"/>
        <v>9980.0839114253704</v>
      </c>
      <c r="AO10" s="67">
        <f t="shared" si="5"/>
        <v>1.4870325028023801</v>
      </c>
      <c r="AP10" s="66">
        <f t="shared" si="6"/>
        <v>0.99985100000000005</v>
      </c>
      <c r="AQ10" s="66">
        <f t="shared" si="7"/>
        <v>1.4901110160272761E-4</v>
      </c>
    </row>
    <row r="11" spans="2:43" x14ac:dyDescent="0.3">
      <c r="B11" s="16">
        <v>8</v>
      </c>
      <c r="C11" s="14">
        <v>5.9000000000000003E-4</v>
      </c>
      <c r="D11" s="12">
        <v>1.6699999999999999E-4</v>
      </c>
      <c r="E11" s="3"/>
      <c r="F11" s="20">
        <v>8</v>
      </c>
      <c r="G11" s="18">
        <f t="shared" si="0"/>
        <v>0.7169491525423729</v>
      </c>
      <c r="H11" s="18" t="str">
        <f t="shared" si="1"/>
        <v>Improved</v>
      </c>
      <c r="J11" s="219"/>
      <c r="K11" s="219"/>
      <c r="L11" s="219"/>
      <c r="M11" s="219"/>
      <c r="N11" s="219"/>
      <c r="O11" s="219"/>
      <c r="P11" s="219"/>
      <c r="R11" s="26" t="s">
        <v>12</v>
      </c>
      <c r="S11" s="27">
        <v>9.4925222096783918E-2</v>
      </c>
      <c r="AE11" s="65">
        <v>8</v>
      </c>
      <c r="AF11" s="66">
        <v>5.9000000000000003E-4</v>
      </c>
      <c r="AG11" s="67">
        <f t="shared" si="8"/>
        <v>9902.4815634553797</v>
      </c>
      <c r="AH11" s="67">
        <f t="shared" si="2"/>
        <v>5.842464122438674</v>
      </c>
      <c r="AI11" s="66">
        <f t="shared" si="3"/>
        <v>0.99941000000000002</v>
      </c>
      <c r="AJ11" s="66">
        <f t="shared" si="4"/>
        <v>5.901741184899538E-4</v>
      </c>
      <c r="AL11" s="65">
        <v>8</v>
      </c>
      <c r="AM11" s="66">
        <v>1.6699999999999999E-4</v>
      </c>
      <c r="AN11" s="67">
        <f t="shared" si="9"/>
        <v>9978.5968789225681</v>
      </c>
      <c r="AO11" s="67">
        <f t="shared" si="5"/>
        <v>1.6664256787800689</v>
      </c>
      <c r="AP11" s="66">
        <f t="shared" si="6"/>
        <v>0.99983299999999997</v>
      </c>
      <c r="AQ11" s="66">
        <f t="shared" si="7"/>
        <v>1.6701394605271038E-4</v>
      </c>
    </row>
    <row r="12" spans="2:43" x14ac:dyDescent="0.3">
      <c r="B12" s="16">
        <v>9</v>
      </c>
      <c r="C12" s="14">
        <v>4.9200000000000003E-4</v>
      </c>
      <c r="D12" s="12">
        <v>2.0599999999999999E-4</v>
      </c>
      <c r="E12" s="3"/>
      <c r="F12" s="20">
        <v>9</v>
      </c>
      <c r="G12" s="18">
        <f t="shared" si="0"/>
        <v>0.58130081300813008</v>
      </c>
      <c r="H12" s="18" t="str">
        <f t="shared" si="1"/>
        <v>Improved</v>
      </c>
      <c r="J12" s="219"/>
      <c r="K12" s="219"/>
      <c r="L12" s="219"/>
      <c r="M12" s="219"/>
      <c r="N12" s="219"/>
      <c r="O12" s="219"/>
      <c r="P12" s="219"/>
      <c r="R12" s="26" t="s">
        <v>13</v>
      </c>
      <c r="S12" s="27">
        <v>5.8660596732997818E-2</v>
      </c>
      <c r="AE12" s="65">
        <v>9</v>
      </c>
      <c r="AF12" s="66">
        <v>4.9200000000000003E-4</v>
      </c>
      <c r="AG12" s="67">
        <f t="shared" si="8"/>
        <v>9896.6390993329405</v>
      </c>
      <c r="AH12" s="67">
        <f t="shared" si="2"/>
        <v>4.8691464368718069</v>
      </c>
      <c r="AI12" s="66">
        <f t="shared" si="3"/>
        <v>0.99950799999999995</v>
      </c>
      <c r="AJ12" s="66">
        <f t="shared" si="4"/>
        <v>4.9212107171319852E-4</v>
      </c>
      <c r="AL12" s="65">
        <v>9</v>
      </c>
      <c r="AM12" s="66">
        <v>2.0599999999999999E-4</v>
      </c>
      <c r="AN12" s="67">
        <f t="shared" si="9"/>
        <v>9976.9304532437873</v>
      </c>
      <c r="AO12" s="67">
        <f t="shared" si="5"/>
        <v>2.0552476733682199</v>
      </c>
      <c r="AP12" s="66">
        <f t="shared" si="6"/>
        <v>0.99979399999999996</v>
      </c>
      <c r="AQ12" s="66">
        <f t="shared" si="7"/>
        <v>2.0602122091442843E-4</v>
      </c>
    </row>
    <row r="13" spans="2:43" x14ac:dyDescent="0.3">
      <c r="B13" s="16">
        <v>10</v>
      </c>
      <c r="C13" s="14">
        <v>4.4000000000000002E-4</v>
      </c>
      <c r="D13" s="12">
        <v>2.6499999999999999E-4</v>
      </c>
      <c r="E13" s="3"/>
      <c r="F13" s="20">
        <v>10</v>
      </c>
      <c r="G13" s="18">
        <f t="shared" si="0"/>
        <v>0.39772727272727276</v>
      </c>
      <c r="H13" s="18" t="str">
        <f t="shared" si="1"/>
        <v>Improved</v>
      </c>
      <c r="J13" s="219"/>
      <c r="K13" s="219"/>
      <c r="L13" s="219"/>
      <c r="M13" s="219"/>
      <c r="N13" s="219"/>
      <c r="O13" s="219"/>
      <c r="P13" s="219"/>
      <c r="R13" s="26" t="s">
        <v>14</v>
      </c>
      <c r="S13" s="27">
        <v>5.6731291922782458E-2</v>
      </c>
      <c r="AE13" s="65">
        <v>10</v>
      </c>
      <c r="AF13" s="66">
        <v>4.4000000000000002E-4</v>
      </c>
      <c r="AG13" s="67">
        <f t="shared" si="8"/>
        <v>9891.7699528960693</v>
      </c>
      <c r="AH13" s="67">
        <f t="shared" si="2"/>
        <v>4.3523787792742707</v>
      </c>
      <c r="AI13" s="66">
        <f t="shared" si="3"/>
        <v>0.99956</v>
      </c>
      <c r="AJ13" s="66">
        <f t="shared" si="4"/>
        <v>4.4009682840403613E-4</v>
      </c>
      <c r="AL13" s="65">
        <v>10</v>
      </c>
      <c r="AM13" s="66">
        <v>2.6499999999999999E-4</v>
      </c>
      <c r="AN13" s="67">
        <f t="shared" si="9"/>
        <v>9974.875205570419</v>
      </c>
      <c r="AO13" s="67">
        <f t="shared" si="5"/>
        <v>2.6433419294761609</v>
      </c>
      <c r="AP13" s="66">
        <f t="shared" si="6"/>
        <v>0.99973500000000004</v>
      </c>
      <c r="AQ13" s="66">
        <f t="shared" si="7"/>
        <v>2.6503511870440118E-4</v>
      </c>
    </row>
    <row r="14" spans="2:43" x14ac:dyDescent="0.3">
      <c r="B14" s="16">
        <v>11</v>
      </c>
      <c r="C14" s="14">
        <v>4.28E-4</v>
      </c>
      <c r="D14" s="12">
        <v>3.4099999999999999E-4</v>
      </c>
      <c r="E14" s="3"/>
      <c r="F14" s="20">
        <v>11</v>
      </c>
      <c r="G14" s="18">
        <f t="shared" si="0"/>
        <v>0.20327102803738317</v>
      </c>
      <c r="H14" s="18" t="str">
        <f t="shared" si="1"/>
        <v>Improved</v>
      </c>
      <c r="J14" s="219"/>
      <c r="K14" s="219"/>
      <c r="L14" s="219"/>
      <c r="M14" s="219"/>
      <c r="N14" s="219"/>
      <c r="O14" s="219"/>
      <c r="P14" s="219"/>
      <c r="R14" s="26" t="s">
        <v>15</v>
      </c>
      <c r="S14" s="27">
        <v>3.6093726734161377E-2</v>
      </c>
      <c r="AE14" s="65">
        <v>11</v>
      </c>
      <c r="AF14" s="66">
        <v>4.28E-4</v>
      </c>
      <c r="AG14" s="67">
        <f t="shared" si="8"/>
        <v>9887.4175741167946</v>
      </c>
      <c r="AH14" s="67">
        <f t="shared" si="2"/>
        <v>4.2318147217219879</v>
      </c>
      <c r="AI14" s="66">
        <f t="shared" si="3"/>
        <v>0.99957200000000002</v>
      </c>
      <c r="AJ14" s="66">
        <f t="shared" si="4"/>
        <v>4.2809161814262657E-4</v>
      </c>
      <c r="AL14" s="65">
        <v>11</v>
      </c>
      <c r="AM14" s="66">
        <v>3.4099999999999999E-4</v>
      </c>
      <c r="AN14" s="67">
        <f t="shared" si="9"/>
        <v>9972.2318636409436</v>
      </c>
      <c r="AO14" s="67">
        <f t="shared" si="5"/>
        <v>3.4005310655015619</v>
      </c>
      <c r="AP14" s="66">
        <f t="shared" si="6"/>
        <v>0.99965899999999996</v>
      </c>
      <c r="AQ14" s="66">
        <f t="shared" si="7"/>
        <v>3.4105815372069062E-4</v>
      </c>
    </row>
    <row r="15" spans="2:43" x14ac:dyDescent="0.3">
      <c r="B15" s="16">
        <v>12</v>
      </c>
      <c r="C15" s="14">
        <v>4.4799999999999999E-4</v>
      </c>
      <c r="D15" s="12">
        <v>4.2900000000000002E-4</v>
      </c>
      <c r="E15" s="3"/>
      <c r="F15" s="20">
        <v>12</v>
      </c>
      <c r="G15" s="18">
        <f t="shared" si="0"/>
        <v>4.2410714285714225E-2</v>
      </c>
      <c r="H15" s="18" t="str">
        <f t="shared" si="1"/>
        <v>Improved</v>
      </c>
      <c r="J15" s="219"/>
      <c r="K15" s="219"/>
      <c r="L15" s="219"/>
      <c r="M15" s="219"/>
      <c r="N15" s="219"/>
      <c r="O15" s="219"/>
      <c r="P15" s="219"/>
      <c r="R15" s="26" t="s">
        <v>16</v>
      </c>
      <c r="S15" s="27">
        <v>-9.104412956362086E-2</v>
      </c>
      <c r="AE15" s="65">
        <v>12</v>
      </c>
      <c r="AF15" s="66">
        <v>4.4799999999999999E-4</v>
      </c>
      <c r="AG15" s="67">
        <f t="shared" si="8"/>
        <v>9883.1857593950735</v>
      </c>
      <c r="AH15" s="67">
        <f t="shared" si="2"/>
        <v>4.4276672202089928</v>
      </c>
      <c r="AI15" s="66">
        <f t="shared" si="3"/>
        <v>0.999552</v>
      </c>
      <c r="AJ15" s="66">
        <f t="shared" si="4"/>
        <v>4.4810038198187543E-4</v>
      </c>
      <c r="AL15" s="65">
        <v>12</v>
      </c>
      <c r="AM15" s="66">
        <v>4.2900000000000002E-4</v>
      </c>
      <c r="AN15" s="67">
        <f t="shared" si="9"/>
        <v>9968.8313325754425</v>
      </c>
      <c r="AO15" s="67">
        <f t="shared" si="5"/>
        <v>4.2766286416748649</v>
      </c>
      <c r="AP15" s="66">
        <f t="shared" si="6"/>
        <v>0.99957099999999999</v>
      </c>
      <c r="AQ15" s="66">
        <f t="shared" si="7"/>
        <v>4.2909204682634641E-4</v>
      </c>
    </row>
    <row r="16" spans="2:43" x14ac:dyDescent="0.3">
      <c r="B16" s="16">
        <v>13</v>
      </c>
      <c r="C16" s="14">
        <v>4.9100000000000001E-4</v>
      </c>
      <c r="D16" s="12">
        <v>5.22E-4</v>
      </c>
      <c r="E16" s="3"/>
      <c r="F16" s="20">
        <v>13</v>
      </c>
      <c r="G16" s="18">
        <f t="shared" si="0"/>
        <v>-6.3136456211812617E-2</v>
      </c>
      <c r="H16" s="18" t="str">
        <f t="shared" si="1"/>
        <v>Deteriorated</v>
      </c>
      <c r="J16" s="219"/>
      <c r="K16" s="219"/>
      <c r="L16" s="219"/>
      <c r="M16" s="219"/>
      <c r="N16" s="219"/>
      <c r="O16" s="219"/>
      <c r="P16" s="219"/>
      <c r="R16" s="26" t="s">
        <v>17</v>
      </c>
      <c r="S16" s="27">
        <v>-0.23391000274634424</v>
      </c>
      <c r="AE16" s="65">
        <v>13</v>
      </c>
      <c r="AF16" s="66">
        <v>4.9100000000000001E-4</v>
      </c>
      <c r="AG16" s="67">
        <f t="shared" si="8"/>
        <v>9878.7580921748649</v>
      </c>
      <c r="AH16" s="67">
        <f t="shared" si="2"/>
        <v>4.8504702232578589</v>
      </c>
      <c r="AI16" s="66">
        <f t="shared" si="3"/>
        <v>0.99950899999999998</v>
      </c>
      <c r="AJ16" s="66">
        <f t="shared" si="4"/>
        <v>4.9112057997147856E-4</v>
      </c>
      <c r="AL16" s="65">
        <v>13</v>
      </c>
      <c r="AM16" s="66">
        <v>5.22E-4</v>
      </c>
      <c r="AN16" s="67">
        <f t="shared" si="9"/>
        <v>9964.5547039337671</v>
      </c>
      <c r="AO16" s="67">
        <f t="shared" si="5"/>
        <v>5.2014975554534262</v>
      </c>
      <c r="AP16" s="66">
        <f t="shared" si="6"/>
        <v>0.99947799999999998</v>
      </c>
      <c r="AQ16" s="66">
        <f t="shared" si="7"/>
        <v>5.2213628943080807E-4</v>
      </c>
    </row>
    <row r="17" spans="2:43" x14ac:dyDescent="0.3">
      <c r="B17" s="16">
        <v>14</v>
      </c>
      <c r="C17" s="14">
        <v>5.4900000000000001E-4</v>
      </c>
      <c r="D17" s="12">
        <v>6.1399999999999996E-4</v>
      </c>
      <c r="E17" s="3"/>
      <c r="F17" s="20">
        <v>14</v>
      </c>
      <c r="G17" s="18">
        <f t="shared" si="0"/>
        <v>-0.11839708561020028</v>
      </c>
      <c r="H17" s="18" t="str">
        <f t="shared" si="1"/>
        <v>Deteriorated</v>
      </c>
      <c r="J17" s="219"/>
      <c r="K17" s="219"/>
      <c r="L17" s="219"/>
      <c r="M17" s="219"/>
      <c r="N17" s="219"/>
      <c r="O17" s="219"/>
      <c r="P17" s="219"/>
      <c r="R17" s="26" t="s">
        <v>18</v>
      </c>
      <c r="S17" s="27">
        <v>-0.23972193410789969</v>
      </c>
      <c r="AE17" s="65">
        <v>14</v>
      </c>
      <c r="AF17" s="66">
        <v>5.4900000000000001E-4</v>
      </c>
      <c r="AG17" s="67">
        <f t="shared" si="8"/>
        <v>9873.9076219516064</v>
      </c>
      <c r="AH17" s="67">
        <f t="shared" si="2"/>
        <v>5.4207752844514321</v>
      </c>
      <c r="AI17" s="66">
        <f t="shared" si="3"/>
        <v>0.99945099999999998</v>
      </c>
      <c r="AJ17" s="66">
        <f t="shared" si="4"/>
        <v>5.4915075567912527E-4</v>
      </c>
      <c r="AL17" s="65">
        <v>14</v>
      </c>
      <c r="AM17" s="66">
        <v>6.1399999999999996E-4</v>
      </c>
      <c r="AN17" s="67">
        <f t="shared" si="9"/>
        <v>9959.3532063783132</v>
      </c>
      <c r="AO17" s="67">
        <f t="shared" si="5"/>
        <v>6.1150428687162837</v>
      </c>
      <c r="AP17" s="66">
        <f t="shared" si="6"/>
        <v>0.999386</v>
      </c>
      <c r="AQ17" s="66">
        <f t="shared" si="7"/>
        <v>6.1418857519406707E-4</v>
      </c>
    </row>
    <row r="18" spans="2:43" x14ac:dyDescent="0.3">
      <c r="B18" s="16">
        <v>15</v>
      </c>
      <c r="C18" s="14">
        <v>6.1399999999999996E-4</v>
      </c>
      <c r="D18" s="12">
        <v>6.9800000000000005E-4</v>
      </c>
      <c r="E18" s="3"/>
      <c r="F18" s="20">
        <v>15</v>
      </c>
      <c r="G18" s="18">
        <f t="shared" si="0"/>
        <v>-0.13680781758957669</v>
      </c>
      <c r="H18" s="18" t="str">
        <f t="shared" si="1"/>
        <v>Deteriorated</v>
      </c>
      <c r="J18" s="219"/>
      <c r="K18" s="219"/>
      <c r="L18" s="219"/>
      <c r="M18" s="219"/>
      <c r="N18" s="219"/>
      <c r="O18" s="219"/>
      <c r="P18" s="219"/>
      <c r="R18" s="26" t="s">
        <v>19</v>
      </c>
      <c r="S18" s="27">
        <v>-7.4115208145600645E-2</v>
      </c>
      <c r="AE18" s="65">
        <v>15</v>
      </c>
      <c r="AF18" s="66">
        <v>6.1399999999999996E-4</v>
      </c>
      <c r="AG18" s="67">
        <f t="shared" si="8"/>
        <v>9868.4868466671542</v>
      </c>
      <c r="AH18" s="67">
        <f t="shared" si="2"/>
        <v>6.0592509238536323</v>
      </c>
      <c r="AI18" s="66">
        <f t="shared" si="3"/>
        <v>0.999386</v>
      </c>
      <c r="AJ18" s="66">
        <f t="shared" si="4"/>
        <v>6.1418857519406707E-4</v>
      </c>
      <c r="AL18" s="65">
        <v>15</v>
      </c>
      <c r="AM18" s="66">
        <v>6.9800000000000005E-4</v>
      </c>
      <c r="AN18" s="67">
        <f t="shared" si="9"/>
        <v>9953.2381635095971</v>
      </c>
      <c r="AO18" s="67">
        <f t="shared" si="5"/>
        <v>6.9473602381296997</v>
      </c>
      <c r="AP18" s="66">
        <f t="shared" si="6"/>
        <v>0.99930200000000002</v>
      </c>
      <c r="AQ18" s="66">
        <f t="shared" si="7"/>
        <v>6.9824371541548215E-4</v>
      </c>
    </row>
    <row r="19" spans="2:43" ht="15" thickBot="1" x14ac:dyDescent="0.35">
      <c r="B19" s="16">
        <v>16</v>
      </c>
      <c r="C19" s="14">
        <v>6.8000000000000005E-4</v>
      </c>
      <c r="D19" s="12">
        <v>7.6999999999999996E-4</v>
      </c>
      <c r="E19" s="3"/>
      <c r="F19" s="20">
        <v>16</v>
      </c>
      <c r="G19" s="18">
        <f t="shared" si="0"/>
        <v>-0.13235294117647045</v>
      </c>
      <c r="H19" s="18" t="str">
        <f t="shared" si="1"/>
        <v>Deteriorated</v>
      </c>
      <c r="J19" s="219"/>
      <c r="K19" s="219"/>
      <c r="L19" s="219"/>
      <c r="M19" s="219"/>
      <c r="N19" s="219"/>
      <c r="O19" s="219"/>
      <c r="P19" s="219"/>
      <c r="R19" s="28" t="s">
        <v>6</v>
      </c>
      <c r="S19" s="29">
        <v>2.9911878763305009E-2</v>
      </c>
      <c r="AE19" s="65">
        <v>16</v>
      </c>
      <c r="AF19" s="66">
        <v>6.8000000000000005E-4</v>
      </c>
      <c r="AG19" s="67">
        <f t="shared" si="8"/>
        <v>9862.4275957433001</v>
      </c>
      <c r="AH19" s="67">
        <f t="shared" si="2"/>
        <v>6.7064507651054441</v>
      </c>
      <c r="AI19" s="66">
        <f t="shared" si="3"/>
        <v>0.99931999999999999</v>
      </c>
      <c r="AJ19" s="66">
        <f t="shared" si="4"/>
        <v>6.802313048641631E-4</v>
      </c>
      <c r="AL19" s="65">
        <v>16</v>
      </c>
      <c r="AM19" s="66">
        <v>7.6999999999999996E-4</v>
      </c>
      <c r="AN19" s="67">
        <f t="shared" si="9"/>
        <v>9946.2908032714677</v>
      </c>
      <c r="AO19" s="67">
        <f t="shared" si="5"/>
        <v>7.6586439185190294</v>
      </c>
      <c r="AP19" s="66">
        <f t="shared" si="6"/>
        <v>0.99922999999999995</v>
      </c>
      <c r="AQ19" s="66">
        <f t="shared" si="7"/>
        <v>7.7029660226565191E-4</v>
      </c>
    </row>
    <row r="20" spans="2:43" ht="15" thickTop="1" x14ac:dyDescent="0.3">
      <c r="B20" s="16">
        <v>17</v>
      </c>
      <c r="C20" s="14">
        <v>7.4299999999999995E-4</v>
      </c>
      <c r="D20" s="12">
        <v>8.2899999999999998E-4</v>
      </c>
      <c r="E20" s="3"/>
      <c r="F20" s="20">
        <v>17</v>
      </c>
      <c r="G20" s="18">
        <f t="shared" si="0"/>
        <v>-0.11574697173620463</v>
      </c>
      <c r="H20" s="18" t="str">
        <f t="shared" si="1"/>
        <v>Deteriorated</v>
      </c>
      <c r="J20" s="219"/>
      <c r="K20" s="219"/>
      <c r="L20" s="219"/>
      <c r="M20" s="219"/>
      <c r="N20" s="219"/>
      <c r="O20" s="219"/>
      <c r="P20" s="219"/>
      <c r="AE20" s="65">
        <v>17</v>
      </c>
      <c r="AF20" s="66">
        <v>7.4299999999999995E-4</v>
      </c>
      <c r="AG20" s="67">
        <f t="shared" si="8"/>
        <v>9855.7211449781953</v>
      </c>
      <c r="AH20" s="67">
        <f t="shared" si="2"/>
        <v>7.3228008107187987</v>
      </c>
      <c r="AI20" s="66">
        <f t="shared" si="3"/>
        <v>0.99925699999999995</v>
      </c>
      <c r="AJ20" s="66">
        <f t="shared" si="4"/>
        <v>7.4327616130041971E-4</v>
      </c>
      <c r="AL20" s="65">
        <v>17</v>
      </c>
      <c r="AM20" s="66">
        <v>8.2899999999999998E-4</v>
      </c>
      <c r="AN20" s="67">
        <f t="shared" si="9"/>
        <v>9938.6321593529483</v>
      </c>
      <c r="AO20" s="67">
        <f t="shared" si="5"/>
        <v>8.2391260601035938</v>
      </c>
      <c r="AP20" s="66">
        <f t="shared" si="6"/>
        <v>0.99917100000000003</v>
      </c>
      <c r="AQ20" s="66">
        <f t="shared" si="7"/>
        <v>8.2934381052571834E-4</v>
      </c>
    </row>
    <row r="21" spans="2:43" x14ac:dyDescent="0.3">
      <c r="B21" s="16">
        <v>18</v>
      </c>
      <c r="C21" s="14">
        <v>8.0000000000000004E-4</v>
      </c>
      <c r="D21" s="12">
        <v>8.7399999999999999E-4</v>
      </c>
      <c r="E21" s="3"/>
      <c r="F21" s="20">
        <v>18</v>
      </c>
      <c r="G21" s="18">
        <f t="shared" si="0"/>
        <v>-9.2499999999999943E-2</v>
      </c>
      <c r="H21" s="18" t="str">
        <f t="shared" si="1"/>
        <v>Deteriorated</v>
      </c>
      <c r="J21" s="219"/>
      <c r="K21" s="219"/>
      <c r="L21" s="219"/>
      <c r="M21" s="219"/>
      <c r="N21" s="219"/>
      <c r="O21" s="219"/>
      <c r="P21" s="219"/>
      <c r="AE21" s="65">
        <v>18</v>
      </c>
      <c r="AF21" s="66">
        <v>8.0000000000000004E-4</v>
      </c>
      <c r="AG21" s="67">
        <f t="shared" si="8"/>
        <v>9848.3983441674773</v>
      </c>
      <c r="AH21" s="67">
        <f t="shared" si="2"/>
        <v>7.8787186753339826</v>
      </c>
      <c r="AI21" s="66">
        <f t="shared" si="3"/>
        <v>0.99919999999999998</v>
      </c>
      <c r="AJ21" s="66">
        <f t="shared" si="4"/>
        <v>8.003201707691552E-4</v>
      </c>
      <c r="AL21" s="65">
        <v>18</v>
      </c>
      <c r="AM21" s="66">
        <v>8.7399999999999999E-4</v>
      </c>
      <c r="AN21" s="67">
        <f t="shared" si="9"/>
        <v>9930.3930332928448</v>
      </c>
      <c r="AO21" s="67">
        <f t="shared" si="5"/>
        <v>8.679163511097947</v>
      </c>
      <c r="AP21" s="66">
        <f t="shared" si="6"/>
        <v>0.99912599999999996</v>
      </c>
      <c r="AQ21" s="66">
        <f t="shared" si="7"/>
        <v>8.7438216068856146E-4</v>
      </c>
    </row>
    <row r="22" spans="2:43" x14ac:dyDescent="0.3">
      <c r="B22" s="16">
        <v>19</v>
      </c>
      <c r="C22" s="14">
        <v>8.4800000000000001E-4</v>
      </c>
      <c r="D22" s="12">
        <v>9.0499999999999999E-4</v>
      </c>
      <c r="E22" s="3"/>
      <c r="F22" s="20">
        <v>19</v>
      </c>
      <c r="G22" s="18">
        <f t="shared" si="0"/>
        <v>-6.7216981132075443E-2</v>
      </c>
      <c r="H22" s="18" t="str">
        <f t="shared" si="1"/>
        <v>Deteriorated</v>
      </c>
      <c r="U22" s="25" t="s">
        <v>0</v>
      </c>
      <c r="AE22" s="65">
        <v>19</v>
      </c>
      <c r="AF22" s="66">
        <v>8.4800000000000001E-4</v>
      </c>
      <c r="AG22" s="67">
        <f t="shared" si="8"/>
        <v>9840.5196254921429</v>
      </c>
      <c r="AH22" s="67">
        <f t="shared" si="2"/>
        <v>8.3447606424173379</v>
      </c>
      <c r="AI22" s="66">
        <f t="shared" si="3"/>
        <v>0.99915200000000004</v>
      </c>
      <c r="AJ22" s="66">
        <f t="shared" si="4"/>
        <v>8.4835975539605596E-4</v>
      </c>
      <c r="AL22" s="65">
        <v>19</v>
      </c>
      <c r="AM22" s="66">
        <v>9.0499999999999999E-4</v>
      </c>
      <c r="AN22" s="67">
        <f t="shared" si="9"/>
        <v>9921.7138697817463</v>
      </c>
      <c r="AO22" s="67">
        <f t="shared" si="5"/>
        <v>8.9791510521524796</v>
      </c>
      <c r="AP22" s="66">
        <f t="shared" si="6"/>
        <v>0.99909499999999996</v>
      </c>
      <c r="AQ22" s="66">
        <f t="shared" si="7"/>
        <v>9.0540975974040831E-4</v>
      </c>
    </row>
    <row r="23" spans="2:43" x14ac:dyDescent="0.3">
      <c r="B23" s="16">
        <v>20</v>
      </c>
      <c r="C23" s="14">
        <v>8.8800000000000001E-4</v>
      </c>
      <c r="D23" s="12">
        <v>9.2400000000000002E-4</v>
      </c>
      <c r="E23" s="3"/>
      <c r="F23" s="20">
        <v>20</v>
      </c>
      <c r="G23" s="18">
        <f t="shared" si="0"/>
        <v>-4.054054054054055E-2</v>
      </c>
      <c r="H23" s="18" t="str">
        <f t="shared" si="1"/>
        <v>Deteriorated</v>
      </c>
      <c r="J23" s="219"/>
      <c r="K23" s="219"/>
      <c r="L23" s="219"/>
      <c r="M23" s="219"/>
      <c r="N23" s="219"/>
      <c r="O23" s="219"/>
      <c r="P23" s="219"/>
      <c r="R23" s="221" t="s">
        <v>20</v>
      </c>
      <c r="S23" s="221"/>
      <c r="T23" s="23">
        <f>MAX(G5:G118)</f>
        <v>0.85375494071146241</v>
      </c>
      <c r="U23" s="24">
        <f>INDEX($F$5:$F$118,MATCH(T23,$G$5:$G$118,0),1)</f>
        <v>5</v>
      </c>
      <c r="AE23" s="65">
        <v>20</v>
      </c>
      <c r="AF23" s="66">
        <v>8.8800000000000001E-4</v>
      </c>
      <c r="AG23" s="67">
        <f t="shared" si="8"/>
        <v>9832.1748648497251</v>
      </c>
      <c r="AH23" s="67">
        <f t="shared" si="2"/>
        <v>8.7309712799865551</v>
      </c>
      <c r="AI23" s="66">
        <f t="shared" si="3"/>
        <v>0.999112</v>
      </c>
      <c r="AJ23" s="66">
        <f t="shared" si="4"/>
        <v>8.883945055645848E-4</v>
      </c>
      <c r="AL23" s="65">
        <v>20</v>
      </c>
      <c r="AM23" s="66">
        <v>9.2400000000000002E-4</v>
      </c>
      <c r="AN23" s="67">
        <f t="shared" si="9"/>
        <v>9912.7347187295945</v>
      </c>
      <c r="AO23" s="67">
        <f t="shared" si="5"/>
        <v>9.1593668801061447</v>
      </c>
      <c r="AP23" s="66">
        <f t="shared" si="6"/>
        <v>0.99907599999999996</v>
      </c>
      <c r="AQ23" s="66">
        <f t="shared" si="7"/>
        <v>9.2442715114541207E-4</v>
      </c>
    </row>
    <row r="24" spans="2:43" x14ac:dyDescent="0.3">
      <c r="B24" s="16">
        <v>21</v>
      </c>
      <c r="C24" s="14">
        <v>9.19E-4</v>
      </c>
      <c r="D24" s="12">
        <v>9.3400000000000004E-4</v>
      </c>
      <c r="E24" s="3"/>
      <c r="F24" s="20">
        <v>21</v>
      </c>
      <c r="G24" s="18">
        <f t="shared" si="0"/>
        <v>-1.6322089227421153E-2</v>
      </c>
      <c r="H24" s="18" t="str">
        <f t="shared" si="1"/>
        <v>Deteriorated</v>
      </c>
      <c r="J24" s="219"/>
      <c r="K24" s="219"/>
      <c r="L24" s="219"/>
      <c r="M24" s="219"/>
      <c r="N24" s="219"/>
      <c r="O24" s="219"/>
      <c r="P24" s="219"/>
      <c r="R24" s="221" t="s">
        <v>21</v>
      </c>
      <c r="S24" s="221"/>
      <c r="T24" s="23">
        <f>MIN(G5:G118)</f>
        <v>-0.27630700707253514</v>
      </c>
      <c r="U24" s="24">
        <f>INDEX($F$5:$F$118,MATCH(T24,$G$5:$G$118,0),1)</f>
        <v>100</v>
      </c>
      <c r="AE24" s="65">
        <v>21</v>
      </c>
      <c r="AF24" s="66">
        <v>9.19E-4</v>
      </c>
      <c r="AG24" s="67">
        <f t="shared" si="8"/>
        <v>9823.4438935697381</v>
      </c>
      <c r="AH24" s="67">
        <f t="shared" si="2"/>
        <v>9.0277449381905885</v>
      </c>
      <c r="AI24" s="66">
        <f t="shared" si="3"/>
        <v>0.999081</v>
      </c>
      <c r="AJ24" s="66">
        <f t="shared" si="4"/>
        <v>9.1942253939564147E-4</v>
      </c>
      <c r="AL24" s="65">
        <v>21</v>
      </c>
      <c r="AM24" s="66">
        <v>9.3400000000000004E-4</v>
      </c>
      <c r="AN24" s="67">
        <f t="shared" si="9"/>
        <v>9903.5753518494876</v>
      </c>
      <c r="AO24" s="67">
        <f t="shared" si="5"/>
        <v>9.2499393786274222</v>
      </c>
      <c r="AP24" s="66">
        <f t="shared" si="6"/>
        <v>0.99906600000000001</v>
      </c>
      <c r="AQ24" s="66">
        <f t="shared" si="7"/>
        <v>9.3443644978388524E-4</v>
      </c>
    </row>
    <row r="25" spans="2:43" x14ac:dyDescent="0.3">
      <c r="B25" s="16">
        <v>22</v>
      </c>
      <c r="C25" s="14">
        <v>9.4300000000000004E-4</v>
      </c>
      <c r="D25" s="12">
        <v>9.3700000000000001E-4</v>
      </c>
      <c r="E25" s="3"/>
      <c r="F25" s="20">
        <v>22</v>
      </c>
      <c r="G25" s="18">
        <f t="shared" si="0"/>
        <v>6.3626723223754369E-3</v>
      </c>
      <c r="H25" s="18" t="str">
        <f t="shared" si="1"/>
        <v>Improved</v>
      </c>
      <c r="J25" s="219"/>
      <c r="K25" s="219"/>
      <c r="L25" s="219"/>
      <c r="M25" s="219"/>
      <c r="N25" s="219"/>
      <c r="O25" s="219"/>
      <c r="P25" s="219"/>
      <c r="AE25" s="65">
        <v>22</v>
      </c>
      <c r="AF25" s="66">
        <v>9.4300000000000004E-4</v>
      </c>
      <c r="AG25" s="67">
        <f t="shared" si="8"/>
        <v>9814.4161486315479</v>
      </c>
      <c r="AH25" s="67">
        <f t="shared" si="2"/>
        <v>9.2549944281595504</v>
      </c>
      <c r="AI25" s="66">
        <f t="shared" si="3"/>
        <v>0.99905699999999997</v>
      </c>
      <c r="AJ25" s="66">
        <f t="shared" si="4"/>
        <v>9.4344490421846973E-4</v>
      </c>
      <c r="AL25" s="65">
        <v>22</v>
      </c>
      <c r="AM25" s="66">
        <v>9.3700000000000001E-4</v>
      </c>
      <c r="AN25" s="67">
        <f t="shared" si="9"/>
        <v>9894.3254124708601</v>
      </c>
      <c r="AO25" s="67">
        <f t="shared" si="5"/>
        <v>9.2709829114851967</v>
      </c>
      <c r="AP25" s="66">
        <f t="shared" si="6"/>
        <v>0.99906300000000003</v>
      </c>
      <c r="AQ25" s="66">
        <f t="shared" si="7"/>
        <v>9.3743925891180192E-4</v>
      </c>
    </row>
    <row r="26" spans="2:43" x14ac:dyDescent="0.3">
      <c r="B26" s="16">
        <v>23</v>
      </c>
      <c r="C26" s="14">
        <v>9.6100000000000005E-4</v>
      </c>
      <c r="D26" s="12">
        <v>9.3599999999999998E-4</v>
      </c>
      <c r="E26" s="3"/>
      <c r="F26" s="20">
        <v>23</v>
      </c>
      <c r="G26" s="18">
        <f t="shared" si="0"/>
        <v>2.601456815816864E-2</v>
      </c>
      <c r="H26" s="18" t="str">
        <f t="shared" si="1"/>
        <v>Improved</v>
      </c>
      <c r="J26" s="219"/>
      <c r="K26" s="219"/>
      <c r="L26" s="219"/>
      <c r="M26" s="219"/>
      <c r="N26" s="219"/>
      <c r="O26" s="219"/>
      <c r="P26" s="219"/>
      <c r="R26" s="222" t="s">
        <v>22</v>
      </c>
      <c r="S26" s="222"/>
      <c r="T26" s="222"/>
      <c r="U26" s="222"/>
      <c r="V26" s="222"/>
      <c r="W26" s="222"/>
      <c r="AE26" s="65">
        <v>23</v>
      </c>
      <c r="AF26" s="66">
        <v>9.6100000000000005E-4</v>
      </c>
      <c r="AG26" s="67">
        <f t="shared" si="8"/>
        <v>9805.1611542033879</v>
      </c>
      <c r="AH26" s="67">
        <f t="shared" si="2"/>
        <v>9.4227598691894556</v>
      </c>
      <c r="AI26" s="66">
        <f t="shared" si="3"/>
        <v>0.99903900000000001</v>
      </c>
      <c r="AJ26" s="66">
        <f t="shared" si="4"/>
        <v>9.6146205654793675E-4</v>
      </c>
      <c r="AL26" s="65">
        <v>23</v>
      </c>
      <c r="AM26" s="66">
        <v>9.3599999999999998E-4</v>
      </c>
      <c r="AN26" s="67">
        <f t="shared" si="9"/>
        <v>9885.0544295593754</v>
      </c>
      <c r="AO26" s="67">
        <f t="shared" si="5"/>
        <v>9.2524109460675756</v>
      </c>
      <c r="AP26" s="66">
        <f t="shared" si="6"/>
        <v>0.99906399999999995</v>
      </c>
      <c r="AQ26" s="66">
        <f t="shared" si="7"/>
        <v>9.3643832153402981E-4</v>
      </c>
    </row>
    <row r="27" spans="2:43" x14ac:dyDescent="0.3">
      <c r="B27" s="16">
        <v>24</v>
      </c>
      <c r="C27" s="14">
        <v>9.7400000000000004E-4</v>
      </c>
      <c r="D27" s="12">
        <v>9.3300000000000002E-4</v>
      </c>
      <c r="E27" s="3"/>
      <c r="F27" s="20">
        <v>24</v>
      </c>
      <c r="G27" s="18">
        <f t="shared" si="0"/>
        <v>4.2094455852156078E-2</v>
      </c>
      <c r="H27" s="18" t="str">
        <f t="shared" si="1"/>
        <v>Improved</v>
      </c>
      <c r="J27" s="219"/>
      <c r="K27" s="219"/>
      <c r="L27" s="219"/>
      <c r="M27" s="219"/>
      <c r="N27" s="219"/>
      <c r="O27" s="219"/>
      <c r="P27" s="219"/>
      <c r="R27" s="223"/>
      <c r="S27" s="223"/>
      <c r="T27" s="223"/>
      <c r="U27" s="223"/>
      <c r="V27" s="223"/>
      <c r="W27" s="223"/>
      <c r="AE27" s="65">
        <v>24</v>
      </c>
      <c r="AF27" s="66">
        <v>9.7400000000000004E-4</v>
      </c>
      <c r="AG27" s="67">
        <f t="shared" si="8"/>
        <v>9795.7383943341993</v>
      </c>
      <c r="AH27" s="67">
        <f t="shared" si="2"/>
        <v>9.5410491960815111</v>
      </c>
      <c r="AI27" s="66">
        <f t="shared" si="3"/>
        <v>0.99902599999999997</v>
      </c>
      <c r="AJ27" s="66">
        <f t="shared" si="4"/>
        <v>9.7447464622867704E-4</v>
      </c>
      <c r="AL27" s="65">
        <v>24</v>
      </c>
      <c r="AM27" s="66">
        <v>9.3300000000000002E-4</v>
      </c>
      <c r="AN27" s="67">
        <f t="shared" si="9"/>
        <v>9875.8020186133072</v>
      </c>
      <c r="AO27" s="67">
        <f t="shared" si="5"/>
        <v>9.2141232833662166</v>
      </c>
      <c r="AP27" s="66">
        <f t="shared" si="6"/>
        <v>0.99906700000000004</v>
      </c>
      <c r="AQ27" s="66">
        <f t="shared" si="7"/>
        <v>9.3343551541161989E-4</v>
      </c>
    </row>
    <row r="28" spans="2:43" x14ac:dyDescent="0.3">
      <c r="B28" s="16">
        <v>25</v>
      </c>
      <c r="C28" s="14">
        <v>9.8400000000000007E-4</v>
      </c>
      <c r="D28" s="12">
        <v>9.3099999999999997E-4</v>
      </c>
      <c r="E28" s="3"/>
      <c r="F28" s="20">
        <v>25</v>
      </c>
      <c r="G28" s="18">
        <f t="shared" si="0"/>
        <v>5.3861788617886271E-2</v>
      </c>
      <c r="H28" s="18" t="str">
        <f t="shared" si="1"/>
        <v>Improved</v>
      </c>
      <c r="J28" s="219"/>
      <c r="K28" s="219"/>
      <c r="L28" s="219"/>
      <c r="M28" s="219"/>
      <c r="N28" s="219"/>
      <c r="O28" s="219"/>
      <c r="P28" s="219"/>
      <c r="AE28" s="65">
        <v>25</v>
      </c>
      <c r="AF28" s="66">
        <v>9.8400000000000007E-4</v>
      </c>
      <c r="AG28" s="67">
        <f t="shared" si="8"/>
        <v>9786.1973451381182</v>
      </c>
      <c r="AH28" s="67">
        <f t="shared" si="2"/>
        <v>9.6296181876159093</v>
      </c>
      <c r="AI28" s="66">
        <f t="shared" si="3"/>
        <v>0.99901600000000002</v>
      </c>
      <c r="AJ28" s="66">
        <f t="shared" si="4"/>
        <v>9.8448444582251745E-4</v>
      </c>
      <c r="AL28" s="65">
        <v>25</v>
      </c>
      <c r="AM28" s="66">
        <v>9.3099999999999997E-4</v>
      </c>
      <c r="AN28" s="67">
        <f t="shared" si="9"/>
        <v>9866.5878953299416</v>
      </c>
      <c r="AO28" s="67">
        <f t="shared" si="5"/>
        <v>9.1857933305521762</v>
      </c>
      <c r="AP28" s="66">
        <f t="shared" si="6"/>
        <v>0.99906899999999998</v>
      </c>
      <c r="AQ28" s="66">
        <f t="shared" si="7"/>
        <v>9.3143364967280412E-4</v>
      </c>
    </row>
    <row r="29" spans="2:43" x14ac:dyDescent="0.3">
      <c r="B29" s="16">
        <v>26</v>
      </c>
      <c r="C29" s="14">
        <v>9.9400000000000009E-4</v>
      </c>
      <c r="D29" s="12">
        <v>9.3099999999999997E-4</v>
      </c>
      <c r="E29" s="3"/>
      <c r="F29" s="20">
        <v>26</v>
      </c>
      <c r="G29" s="18">
        <f t="shared" si="0"/>
        <v>6.3380281690140955E-2</v>
      </c>
      <c r="H29" s="18" t="str">
        <f t="shared" si="1"/>
        <v>Improved</v>
      </c>
      <c r="J29" s="219"/>
      <c r="K29" s="219"/>
      <c r="L29" s="219"/>
      <c r="M29" s="219"/>
      <c r="N29" s="219"/>
      <c r="O29" s="219"/>
      <c r="P29" s="219"/>
      <c r="R29" s="218" t="s">
        <v>23</v>
      </c>
      <c r="S29" s="218"/>
      <c r="T29" s="218"/>
      <c r="U29" s="218"/>
      <c r="V29" s="218"/>
      <c r="W29" s="218"/>
      <c r="AE29" s="65">
        <v>26</v>
      </c>
      <c r="AF29" s="66">
        <v>9.9400000000000009E-4</v>
      </c>
      <c r="AG29" s="67">
        <f t="shared" si="8"/>
        <v>9776.5677269505031</v>
      </c>
      <c r="AH29" s="67">
        <f t="shared" si="2"/>
        <v>9.7179083205888013</v>
      </c>
      <c r="AI29" s="66">
        <f t="shared" si="3"/>
        <v>0.99900599999999995</v>
      </c>
      <c r="AJ29" s="66">
        <f t="shared" si="4"/>
        <v>9.9449434561355975E-4</v>
      </c>
      <c r="AL29" s="65">
        <v>26</v>
      </c>
      <c r="AM29" s="66">
        <v>9.3099999999999997E-4</v>
      </c>
      <c r="AN29" s="67">
        <f t="shared" si="9"/>
        <v>9857.4021019993888</v>
      </c>
      <c r="AO29" s="67">
        <f t="shared" si="5"/>
        <v>9.1772413569614315</v>
      </c>
      <c r="AP29" s="66">
        <f t="shared" si="6"/>
        <v>0.99906899999999998</v>
      </c>
      <c r="AQ29" s="66">
        <f t="shared" si="7"/>
        <v>9.3143364967280412E-4</v>
      </c>
    </row>
    <row r="30" spans="2:43" x14ac:dyDescent="0.3">
      <c r="B30" s="16">
        <v>27</v>
      </c>
      <c r="C30" s="14">
        <v>1.0039999999999999E-3</v>
      </c>
      <c r="D30" s="12">
        <v>9.3400000000000004E-4</v>
      </c>
      <c r="E30" s="3"/>
      <c r="F30" s="20">
        <v>27</v>
      </c>
      <c r="G30" s="18">
        <f t="shared" si="0"/>
        <v>6.9721115537848474E-2</v>
      </c>
      <c r="H30" s="18" t="str">
        <f t="shared" si="1"/>
        <v>Improved</v>
      </c>
      <c r="J30" s="219"/>
      <c r="K30" s="219"/>
      <c r="L30" s="219"/>
      <c r="M30" s="219"/>
      <c r="N30" s="219"/>
      <c r="O30" s="219"/>
      <c r="P30" s="219"/>
      <c r="AE30" s="65">
        <v>27</v>
      </c>
      <c r="AF30" s="66">
        <v>1.0039999999999999E-3</v>
      </c>
      <c r="AG30" s="67">
        <f t="shared" si="8"/>
        <v>9766.8498186299148</v>
      </c>
      <c r="AH30" s="67">
        <f t="shared" si="2"/>
        <v>9.8059172179044332</v>
      </c>
      <c r="AI30" s="66">
        <f t="shared" si="3"/>
        <v>0.998996</v>
      </c>
      <c r="AJ30" s="66">
        <f t="shared" si="4"/>
        <v>1.0045043456035879E-3</v>
      </c>
      <c r="AL30" s="65">
        <v>27</v>
      </c>
      <c r="AM30" s="66">
        <v>9.3400000000000004E-4</v>
      </c>
      <c r="AN30" s="67">
        <f t="shared" si="9"/>
        <v>9848.2248606424273</v>
      </c>
      <c r="AO30" s="67">
        <f t="shared" si="5"/>
        <v>9.198242019840027</v>
      </c>
      <c r="AP30" s="66">
        <f t="shared" si="6"/>
        <v>0.99906600000000001</v>
      </c>
      <c r="AQ30" s="66">
        <f t="shared" si="7"/>
        <v>9.3443644978388524E-4</v>
      </c>
    </row>
    <row r="31" spans="2:43" x14ac:dyDescent="0.3">
      <c r="B31" s="16">
        <v>28</v>
      </c>
      <c r="C31" s="14">
        <v>1.0169999999999999E-3</v>
      </c>
      <c r="D31" s="12">
        <v>9.4200000000000002E-4</v>
      </c>
      <c r="E31" s="3"/>
      <c r="F31" s="20">
        <v>28</v>
      </c>
      <c r="G31" s="18">
        <f t="shared" si="0"/>
        <v>7.374631268436567E-2</v>
      </c>
      <c r="H31" s="18" t="str">
        <f t="shared" si="1"/>
        <v>Improved</v>
      </c>
      <c r="J31" s="219"/>
      <c r="K31" s="219"/>
      <c r="L31" s="219"/>
      <c r="M31" s="219"/>
      <c r="N31" s="219"/>
      <c r="O31" s="219"/>
      <c r="P31" s="219"/>
      <c r="AE31" s="65">
        <v>28</v>
      </c>
      <c r="AF31" s="66">
        <v>1.0169999999999999E-3</v>
      </c>
      <c r="AG31" s="67">
        <f t="shared" si="8"/>
        <v>9757.0439014120111</v>
      </c>
      <c r="AH31" s="67">
        <f t="shared" si="2"/>
        <v>9.9229136477360136</v>
      </c>
      <c r="AI31" s="66">
        <f t="shared" si="3"/>
        <v>0.99898299999999995</v>
      </c>
      <c r="AJ31" s="66">
        <f t="shared" si="4"/>
        <v>1.0175174953916729E-3</v>
      </c>
      <c r="AL31" s="65">
        <v>28</v>
      </c>
      <c r="AM31" s="66">
        <v>9.4200000000000002E-4</v>
      </c>
      <c r="AN31" s="67">
        <f t="shared" si="9"/>
        <v>9839.0266186225872</v>
      </c>
      <c r="AO31" s="67">
        <f t="shared" si="5"/>
        <v>9.2683630747424779</v>
      </c>
      <c r="AP31" s="66">
        <f t="shared" si="6"/>
        <v>0.999058</v>
      </c>
      <c r="AQ31" s="66">
        <f t="shared" si="7"/>
        <v>9.4244396082929661E-4</v>
      </c>
    </row>
    <row r="32" spans="2:43" x14ac:dyDescent="0.3">
      <c r="B32" s="16">
        <v>29</v>
      </c>
      <c r="C32" s="14">
        <v>1.034E-3</v>
      </c>
      <c r="D32" s="12">
        <v>9.5600000000000004E-4</v>
      </c>
      <c r="E32" s="3"/>
      <c r="F32" s="20">
        <v>29</v>
      </c>
      <c r="G32" s="18">
        <f t="shared" si="0"/>
        <v>7.5435203094777512E-2</v>
      </c>
      <c r="H32" s="18" t="str">
        <f t="shared" si="1"/>
        <v>Improved</v>
      </c>
      <c r="J32" s="219"/>
      <c r="K32" s="219"/>
      <c r="L32" s="219"/>
      <c r="M32" s="219"/>
      <c r="N32" s="219"/>
      <c r="O32" s="219"/>
      <c r="P32" s="219"/>
      <c r="AE32" s="65">
        <v>29</v>
      </c>
      <c r="AF32" s="66">
        <v>1.034E-3</v>
      </c>
      <c r="AG32" s="67">
        <f t="shared" si="8"/>
        <v>9747.1209877642759</v>
      </c>
      <c r="AH32" s="67">
        <f t="shared" si="2"/>
        <v>10.078523101348262</v>
      </c>
      <c r="AI32" s="66">
        <f t="shared" si="3"/>
        <v>0.99896600000000002</v>
      </c>
      <c r="AJ32" s="66">
        <f t="shared" si="4"/>
        <v>1.0345349467884243E-3</v>
      </c>
      <c r="AL32" s="65">
        <v>29</v>
      </c>
      <c r="AM32" s="66">
        <v>9.5600000000000004E-4</v>
      </c>
      <c r="AN32" s="67">
        <f t="shared" si="9"/>
        <v>9829.7582555478439</v>
      </c>
      <c r="AO32" s="67">
        <f t="shared" si="5"/>
        <v>9.3972488923037396</v>
      </c>
      <c r="AP32" s="66">
        <f t="shared" si="6"/>
        <v>0.99904400000000004</v>
      </c>
      <c r="AQ32" s="66">
        <f t="shared" si="7"/>
        <v>9.5645725944987507E-4</v>
      </c>
    </row>
    <row r="33" spans="2:43" x14ac:dyDescent="0.3">
      <c r="B33" s="16">
        <v>30</v>
      </c>
      <c r="C33" s="14">
        <v>1.0560000000000001E-3</v>
      </c>
      <c r="D33" s="12">
        <v>9.77E-4</v>
      </c>
      <c r="E33" s="3"/>
      <c r="F33" s="20">
        <v>30</v>
      </c>
      <c r="G33" s="18">
        <f t="shared" si="0"/>
        <v>7.4810606060606133E-2</v>
      </c>
      <c r="H33" s="18" t="str">
        <f t="shared" si="1"/>
        <v>Improved</v>
      </c>
      <c r="J33" s="219"/>
      <c r="K33" s="219"/>
      <c r="L33" s="219"/>
      <c r="M33" s="219"/>
      <c r="N33" s="219"/>
      <c r="O33" s="219"/>
      <c r="P33" s="219"/>
      <c r="AE33" s="65">
        <v>30</v>
      </c>
      <c r="AF33" s="66">
        <v>1.0560000000000001E-3</v>
      </c>
      <c r="AG33" s="67">
        <f t="shared" si="8"/>
        <v>9737.0424646629272</v>
      </c>
      <c r="AH33" s="67">
        <f t="shared" si="2"/>
        <v>10.282316842684052</v>
      </c>
      <c r="AI33" s="66">
        <f t="shared" si="3"/>
        <v>0.99894400000000005</v>
      </c>
      <c r="AJ33" s="66">
        <f t="shared" si="4"/>
        <v>1.0565579608389627E-3</v>
      </c>
      <c r="AL33" s="65">
        <v>30</v>
      </c>
      <c r="AM33" s="66">
        <v>9.77E-4</v>
      </c>
      <c r="AN33" s="67">
        <f t="shared" si="9"/>
        <v>9820.3610066555393</v>
      </c>
      <c r="AO33" s="67">
        <f t="shared" si="5"/>
        <v>9.5944927035024623</v>
      </c>
      <c r="AP33" s="66">
        <f t="shared" si="6"/>
        <v>0.99902299999999999</v>
      </c>
      <c r="AQ33" s="66">
        <f t="shared" si="7"/>
        <v>9.7747757558624298E-4</v>
      </c>
    </row>
    <row r="34" spans="2:43" x14ac:dyDescent="0.3">
      <c r="B34" s="16">
        <v>31</v>
      </c>
      <c r="C34" s="14">
        <v>1.0839999999999999E-3</v>
      </c>
      <c r="D34" s="12">
        <v>1.005E-3</v>
      </c>
      <c r="E34" s="3"/>
      <c r="F34" s="20">
        <v>31</v>
      </c>
      <c r="G34" s="18">
        <f t="shared" si="0"/>
        <v>7.2878228782287696E-2</v>
      </c>
      <c r="H34" s="18" t="str">
        <f t="shared" si="1"/>
        <v>Improved</v>
      </c>
      <c r="J34" s="219"/>
      <c r="K34" s="219"/>
      <c r="L34" s="219"/>
      <c r="M34" s="219"/>
      <c r="N34" s="219"/>
      <c r="O34" s="219"/>
      <c r="P34" s="219"/>
      <c r="AE34" s="65">
        <v>31</v>
      </c>
      <c r="AF34" s="66">
        <v>1.0839999999999999E-3</v>
      </c>
      <c r="AG34" s="67">
        <f t="shared" si="8"/>
        <v>9726.7601478202432</v>
      </c>
      <c r="AH34" s="67">
        <f t="shared" si="2"/>
        <v>10.543808000237142</v>
      </c>
      <c r="AI34" s="66">
        <f t="shared" si="3"/>
        <v>0.99891600000000003</v>
      </c>
      <c r="AJ34" s="66">
        <f t="shared" si="4"/>
        <v>1.084587952932364E-3</v>
      </c>
      <c r="AL34" s="65">
        <v>31</v>
      </c>
      <c r="AM34" s="66">
        <v>1.005E-3</v>
      </c>
      <c r="AN34" s="67">
        <f t="shared" si="9"/>
        <v>9810.7665139520377</v>
      </c>
      <c r="AO34" s="67">
        <f t="shared" si="5"/>
        <v>9.8598203465217988</v>
      </c>
      <c r="AP34" s="66">
        <f t="shared" si="6"/>
        <v>0.99899499999999997</v>
      </c>
      <c r="AQ34" s="66">
        <f t="shared" si="7"/>
        <v>1.0055053511136515E-3</v>
      </c>
    </row>
    <row r="35" spans="2:43" x14ac:dyDescent="0.3">
      <c r="B35" s="16">
        <v>32</v>
      </c>
      <c r="C35" s="14">
        <v>1.119E-3</v>
      </c>
      <c r="D35" s="12">
        <v>1.042E-3</v>
      </c>
      <c r="E35" s="3"/>
      <c r="F35" s="20">
        <v>32</v>
      </c>
      <c r="G35" s="18">
        <f t="shared" si="0"/>
        <v>6.8811438784629156E-2</v>
      </c>
      <c r="H35" s="18" t="str">
        <f t="shared" si="1"/>
        <v>Improved</v>
      </c>
      <c r="J35" s="219"/>
      <c r="K35" s="219"/>
      <c r="L35" s="219"/>
      <c r="M35" s="219"/>
      <c r="N35" s="219"/>
      <c r="O35" s="219"/>
      <c r="P35" s="219"/>
      <c r="AE35" s="65">
        <v>32</v>
      </c>
      <c r="AF35" s="66">
        <v>1.119E-3</v>
      </c>
      <c r="AG35" s="67">
        <f t="shared" si="8"/>
        <v>9716.2163398200064</v>
      </c>
      <c r="AH35" s="67">
        <f t="shared" si="2"/>
        <v>10.872446084258588</v>
      </c>
      <c r="AI35" s="66">
        <f t="shared" si="3"/>
        <v>0.99888100000000002</v>
      </c>
      <c r="AJ35" s="66">
        <f t="shared" si="4"/>
        <v>1.1196265479483621E-3</v>
      </c>
      <c r="AL35" s="65">
        <v>32</v>
      </c>
      <c r="AM35" s="66">
        <v>1.042E-3</v>
      </c>
      <c r="AN35" s="67">
        <f t="shared" si="9"/>
        <v>9800.9066936055151</v>
      </c>
      <c r="AO35" s="67">
        <f t="shared" si="5"/>
        <v>10.212544774736946</v>
      </c>
      <c r="AP35" s="66">
        <f t="shared" si="6"/>
        <v>0.99895800000000001</v>
      </c>
      <c r="AQ35" s="66">
        <f t="shared" si="7"/>
        <v>1.0425432594169835E-3</v>
      </c>
    </row>
    <row r="36" spans="2:43" x14ac:dyDescent="0.3">
      <c r="B36" s="16">
        <v>33</v>
      </c>
      <c r="C36" s="14">
        <v>1.1640000000000001E-3</v>
      </c>
      <c r="D36" s="12">
        <v>1.0859999999999999E-3</v>
      </c>
      <c r="E36" s="3"/>
      <c r="F36" s="20">
        <v>33</v>
      </c>
      <c r="G36" s="18">
        <f t="shared" si="0"/>
        <v>6.7010309278350652E-2</v>
      </c>
      <c r="H36" s="18" t="str">
        <f t="shared" si="1"/>
        <v>Improved</v>
      </c>
      <c r="J36" s="219"/>
      <c r="K36" s="219"/>
      <c r="L36" s="219"/>
      <c r="M36" s="219"/>
      <c r="N36" s="219"/>
      <c r="O36" s="219"/>
      <c r="P36" s="219"/>
      <c r="AE36" s="65">
        <v>33</v>
      </c>
      <c r="AF36" s="66">
        <v>1.1640000000000001E-3</v>
      </c>
      <c r="AG36" s="67">
        <f t="shared" si="8"/>
        <v>9705.3438937357478</v>
      </c>
      <c r="AH36" s="67">
        <f t="shared" si="2"/>
        <v>11.297020292308412</v>
      </c>
      <c r="AI36" s="66">
        <f t="shared" si="3"/>
        <v>0.99883599999999995</v>
      </c>
      <c r="AJ36" s="66">
        <f t="shared" si="4"/>
        <v>1.1646779741590655E-3</v>
      </c>
      <c r="AL36" s="65">
        <v>33</v>
      </c>
      <c r="AM36" s="66">
        <v>1.0859999999999999E-3</v>
      </c>
      <c r="AN36" s="67">
        <f t="shared" si="9"/>
        <v>9790.6941488307784</v>
      </c>
      <c r="AO36" s="67">
        <f t="shared" si="5"/>
        <v>10.632693845630225</v>
      </c>
      <c r="AP36" s="66">
        <f t="shared" si="6"/>
        <v>0.99891399999999997</v>
      </c>
      <c r="AQ36" s="66">
        <f t="shared" si="7"/>
        <v>1.0865901252894296E-3</v>
      </c>
    </row>
    <row r="37" spans="2:43" x14ac:dyDescent="0.3">
      <c r="B37" s="16">
        <v>34</v>
      </c>
      <c r="C37" s="14">
        <v>1.2179999999999999E-3</v>
      </c>
      <c r="D37" s="12">
        <v>1.14E-3</v>
      </c>
      <c r="E37" s="3"/>
      <c r="F37" s="20">
        <v>34</v>
      </c>
      <c r="G37" s="18">
        <f t="shared" ref="G37:G67" si="10">(C37-D37)/C37</f>
        <v>6.4039408866995037E-2</v>
      </c>
      <c r="H37" s="18" t="str">
        <f t="shared" si="1"/>
        <v>Improved</v>
      </c>
      <c r="J37" s="219"/>
      <c r="K37" s="219"/>
      <c r="L37" s="219"/>
      <c r="M37" s="219"/>
      <c r="N37" s="219"/>
      <c r="O37" s="219"/>
      <c r="P37" s="219"/>
      <c r="AE37" s="65">
        <v>34</v>
      </c>
      <c r="AF37" s="66">
        <v>1.2179999999999999E-3</v>
      </c>
      <c r="AG37" s="67">
        <f t="shared" si="8"/>
        <v>9694.0468734434398</v>
      </c>
      <c r="AH37" s="67">
        <f t="shared" si="2"/>
        <v>11.807349091854109</v>
      </c>
      <c r="AI37" s="66">
        <f t="shared" si="3"/>
        <v>0.99878199999999995</v>
      </c>
      <c r="AJ37" s="66">
        <f t="shared" si="4"/>
        <v>1.2187423648615441E-3</v>
      </c>
      <c r="AL37" s="65">
        <v>34</v>
      </c>
      <c r="AM37" s="66">
        <v>1.14E-3</v>
      </c>
      <c r="AN37" s="67">
        <f t="shared" si="9"/>
        <v>9780.0614549851489</v>
      </c>
      <c r="AO37" s="67">
        <f t="shared" si="5"/>
        <v>11.149270058683069</v>
      </c>
      <c r="AP37" s="66">
        <f t="shared" si="6"/>
        <v>0.99885999999999997</v>
      </c>
      <c r="AQ37" s="66">
        <f t="shared" si="7"/>
        <v>1.1406502942706554E-3</v>
      </c>
    </row>
    <row r="38" spans="2:43" x14ac:dyDescent="0.3">
      <c r="B38" s="16">
        <v>35</v>
      </c>
      <c r="C38" s="14">
        <v>1.2819999999999999E-3</v>
      </c>
      <c r="D38" s="12">
        <v>1.2019999999999999E-3</v>
      </c>
      <c r="E38" s="3"/>
      <c r="F38" s="20">
        <v>35</v>
      </c>
      <c r="G38" s="18">
        <f t="shared" si="10"/>
        <v>6.2402496099843989E-2</v>
      </c>
      <c r="H38" s="18" t="str">
        <f t="shared" si="1"/>
        <v>Improved</v>
      </c>
      <c r="J38" s="219"/>
      <c r="K38" s="219"/>
      <c r="L38" s="219"/>
      <c r="M38" s="219"/>
      <c r="N38" s="219"/>
      <c r="O38" s="219"/>
      <c r="P38" s="219"/>
      <c r="AE38" s="65">
        <v>35</v>
      </c>
      <c r="AF38" s="66">
        <v>1.2819999999999999E-3</v>
      </c>
      <c r="AG38" s="67">
        <f t="shared" si="8"/>
        <v>9682.2395243515857</v>
      </c>
      <c r="AH38" s="67">
        <f t="shared" si="2"/>
        <v>12.412631070218731</v>
      </c>
      <c r="AI38" s="66">
        <f t="shared" si="3"/>
        <v>0.99871799999999999</v>
      </c>
      <c r="AJ38" s="66">
        <f t="shared" si="4"/>
        <v>1.2828224650085808E-3</v>
      </c>
      <c r="AL38" s="65">
        <v>35</v>
      </c>
      <c r="AM38" s="66">
        <v>1.2019999999999999E-3</v>
      </c>
      <c r="AN38" s="67">
        <f t="shared" si="9"/>
        <v>9768.9121849264666</v>
      </c>
      <c r="AO38" s="67">
        <f t="shared" si="5"/>
        <v>11.742232446281612</v>
      </c>
      <c r="AP38" s="66">
        <f t="shared" si="6"/>
        <v>0.99879799999999996</v>
      </c>
      <c r="AQ38" s="66">
        <f t="shared" si="7"/>
        <v>1.202722981407206E-3</v>
      </c>
    </row>
    <row r="39" spans="2:43" x14ac:dyDescent="0.3">
      <c r="B39" s="16">
        <v>36</v>
      </c>
      <c r="C39" s="14">
        <v>1.358E-3</v>
      </c>
      <c r="D39" s="12">
        <v>1.2750000000000001E-3</v>
      </c>
      <c r="E39" s="3"/>
      <c r="F39" s="20">
        <v>36</v>
      </c>
      <c r="G39" s="18">
        <f t="shared" si="10"/>
        <v>6.1119293078055928E-2</v>
      </c>
      <c r="H39" s="18" t="str">
        <f t="shared" si="1"/>
        <v>Improved</v>
      </c>
      <c r="AE39" s="65">
        <v>36</v>
      </c>
      <c r="AF39" s="66">
        <v>1.358E-3</v>
      </c>
      <c r="AG39" s="67">
        <f t="shared" si="8"/>
        <v>9669.8268932813662</v>
      </c>
      <c r="AH39" s="67">
        <f t="shared" si="2"/>
        <v>13.131624921076096</v>
      </c>
      <c r="AI39" s="66">
        <f t="shared" si="3"/>
        <v>0.99864200000000003</v>
      </c>
      <c r="AJ39" s="66">
        <f t="shared" si="4"/>
        <v>1.358922917642701E-3</v>
      </c>
      <c r="AL39" s="65">
        <v>36</v>
      </c>
      <c r="AM39" s="66">
        <v>1.2750000000000001E-3</v>
      </c>
      <c r="AN39" s="67">
        <f t="shared" si="9"/>
        <v>9757.1699524801843</v>
      </c>
      <c r="AO39" s="67">
        <f t="shared" si="5"/>
        <v>12.440391689412236</v>
      </c>
      <c r="AP39" s="66">
        <f t="shared" si="6"/>
        <v>0.99872499999999997</v>
      </c>
      <c r="AQ39" s="66">
        <f t="shared" si="7"/>
        <v>1.2758135040519898E-3</v>
      </c>
    </row>
    <row r="40" spans="2:43" x14ac:dyDescent="0.3">
      <c r="B40" s="16">
        <v>37</v>
      </c>
      <c r="C40" s="14">
        <v>1.4469999999999999E-3</v>
      </c>
      <c r="D40" s="12">
        <v>1.358E-3</v>
      </c>
      <c r="E40" s="3"/>
      <c r="F40" s="20">
        <v>37</v>
      </c>
      <c r="G40" s="18">
        <f t="shared" si="10"/>
        <v>6.1506565307532748E-2</v>
      </c>
      <c r="H40" s="18" t="str">
        <f t="shared" si="1"/>
        <v>Improved</v>
      </c>
      <c r="AE40" s="65">
        <v>37</v>
      </c>
      <c r="AF40" s="66">
        <v>1.4469999999999999E-3</v>
      </c>
      <c r="AG40" s="67">
        <f t="shared" si="8"/>
        <v>9656.6952683602904</v>
      </c>
      <c r="AH40" s="67">
        <f t="shared" si="2"/>
        <v>13.97323805331734</v>
      </c>
      <c r="AI40" s="66">
        <f t="shared" si="3"/>
        <v>0.99855300000000002</v>
      </c>
      <c r="AJ40" s="66">
        <f t="shared" si="4"/>
        <v>1.4480479155111296E-3</v>
      </c>
      <c r="AL40" s="65">
        <v>37</v>
      </c>
      <c r="AM40" s="66">
        <v>1.358E-3</v>
      </c>
      <c r="AN40" s="67">
        <f t="shared" si="9"/>
        <v>9744.7295607907727</v>
      </c>
      <c r="AO40" s="67">
        <f t="shared" si="5"/>
        <v>13.23334274355387</v>
      </c>
      <c r="AP40" s="66">
        <f t="shared" si="6"/>
        <v>0.99864200000000003</v>
      </c>
      <c r="AQ40" s="66">
        <f t="shared" si="7"/>
        <v>1.358922917642701E-3</v>
      </c>
    </row>
    <row r="41" spans="2:43" x14ac:dyDescent="0.3">
      <c r="B41" s="16">
        <v>38</v>
      </c>
      <c r="C41" s="14">
        <v>1.549E-3</v>
      </c>
      <c r="D41" s="12">
        <v>1.4530000000000001E-3</v>
      </c>
      <c r="E41" s="3"/>
      <c r="F41" s="20">
        <v>38</v>
      </c>
      <c r="G41" s="18">
        <f t="shared" si="10"/>
        <v>6.1975468043899258E-2</v>
      </c>
      <c r="H41" s="18" t="str">
        <f t="shared" si="1"/>
        <v>Improved</v>
      </c>
      <c r="AE41" s="65">
        <v>38</v>
      </c>
      <c r="AF41" s="66">
        <v>1.549E-3</v>
      </c>
      <c r="AG41" s="67">
        <f t="shared" si="8"/>
        <v>9642.7220303069735</v>
      </c>
      <c r="AH41" s="67">
        <f t="shared" si="2"/>
        <v>14.936576424945502</v>
      </c>
      <c r="AI41" s="66">
        <f t="shared" si="3"/>
        <v>0.99845099999999998</v>
      </c>
      <c r="AJ41" s="66">
        <f t="shared" si="4"/>
        <v>1.5502009408318062E-3</v>
      </c>
      <c r="AL41" s="65">
        <v>38</v>
      </c>
      <c r="AM41" s="66">
        <v>1.4530000000000001E-3</v>
      </c>
      <c r="AN41" s="67">
        <f t="shared" si="9"/>
        <v>9731.4962180472194</v>
      </c>
      <c r="AO41" s="67">
        <f t="shared" si="5"/>
        <v>14.139864004822611</v>
      </c>
      <c r="AP41" s="66">
        <f t="shared" si="6"/>
        <v>0.99854699999999996</v>
      </c>
      <c r="AQ41" s="66">
        <f t="shared" si="7"/>
        <v>1.4540566281445277E-3</v>
      </c>
    </row>
    <row r="42" spans="2:43" x14ac:dyDescent="0.3">
      <c r="B42" s="16">
        <v>39</v>
      </c>
      <c r="C42" s="14">
        <v>1.6670000000000001E-3</v>
      </c>
      <c r="D42" s="12">
        <v>1.56E-3</v>
      </c>
      <c r="E42" s="3"/>
      <c r="F42" s="20">
        <v>39</v>
      </c>
      <c r="G42" s="18">
        <f t="shared" si="10"/>
        <v>6.4187162567486564E-2</v>
      </c>
      <c r="H42" s="18" t="str">
        <f t="shared" si="1"/>
        <v>Improved</v>
      </c>
      <c r="AE42" s="65">
        <v>39</v>
      </c>
      <c r="AF42" s="66">
        <v>1.6670000000000001E-3</v>
      </c>
      <c r="AG42" s="67">
        <f t="shared" si="8"/>
        <v>9627.7854538820284</v>
      </c>
      <c r="AH42" s="67">
        <f t="shared" si="2"/>
        <v>16.049518351621341</v>
      </c>
      <c r="AI42" s="66">
        <f t="shared" si="3"/>
        <v>0.99833300000000003</v>
      </c>
      <c r="AJ42" s="66">
        <f t="shared" si="4"/>
        <v>1.6683909905690958E-3</v>
      </c>
      <c r="AL42" s="65">
        <v>39</v>
      </c>
      <c r="AM42" s="66">
        <v>1.56E-3</v>
      </c>
      <c r="AN42" s="67">
        <f t="shared" si="9"/>
        <v>9717.3563540423966</v>
      </c>
      <c r="AO42" s="67">
        <f t="shared" si="5"/>
        <v>15.159075912306138</v>
      </c>
      <c r="AP42" s="66">
        <f t="shared" si="6"/>
        <v>0.99843999999999999</v>
      </c>
      <c r="AQ42" s="66">
        <f t="shared" si="7"/>
        <v>1.5612180669544583E-3</v>
      </c>
    </row>
    <row r="43" spans="2:43" x14ac:dyDescent="0.3">
      <c r="B43" s="16">
        <v>40</v>
      </c>
      <c r="C43" s="14">
        <v>1.8029999999999999E-3</v>
      </c>
      <c r="D43" s="12">
        <v>1.6800000000000001E-3</v>
      </c>
      <c r="E43" s="3"/>
      <c r="F43" s="20">
        <v>40</v>
      </c>
      <c r="G43" s="18">
        <f t="shared" si="10"/>
        <v>6.8219633943427532E-2</v>
      </c>
      <c r="H43" s="18" t="str">
        <f t="shared" si="1"/>
        <v>Improved</v>
      </c>
      <c r="AE43" s="65">
        <v>40</v>
      </c>
      <c r="AF43" s="217">
        <v>1.8029999999999999E-3</v>
      </c>
      <c r="AG43" s="67">
        <f t="shared" si="8"/>
        <v>9611.735935530407</v>
      </c>
      <c r="AH43" s="67">
        <f t="shared" si="2"/>
        <v>17.329959891761323</v>
      </c>
      <c r="AI43" s="66">
        <f t="shared" si="3"/>
        <v>0.998197</v>
      </c>
      <c r="AJ43" s="66">
        <f t="shared" si="4"/>
        <v>1.8046273608819643E-3</v>
      </c>
      <c r="AL43" s="65">
        <v>40</v>
      </c>
      <c r="AM43" s="66">
        <v>1.6800000000000001E-3</v>
      </c>
      <c r="AN43" s="67">
        <f t="shared" si="9"/>
        <v>9702.1972781300901</v>
      </c>
      <c r="AO43" s="67">
        <f t="shared" si="5"/>
        <v>16.299691427258551</v>
      </c>
      <c r="AP43" s="66">
        <f t="shared" si="6"/>
        <v>0.99831999999999999</v>
      </c>
      <c r="AQ43" s="66">
        <f t="shared" si="7"/>
        <v>1.6814127825381805E-3</v>
      </c>
    </row>
    <row r="44" spans="2:43" x14ac:dyDescent="0.3">
      <c r="B44" s="16">
        <v>41</v>
      </c>
      <c r="C44" s="14">
        <v>1.9589999999999998E-3</v>
      </c>
      <c r="D44" s="12">
        <v>1.815E-3</v>
      </c>
      <c r="E44" s="3"/>
      <c r="F44" s="20">
        <v>41</v>
      </c>
      <c r="G44" s="18">
        <f t="shared" si="10"/>
        <v>7.3506891271056571E-2</v>
      </c>
      <c r="H44" s="18" t="str">
        <f t="shared" si="1"/>
        <v>Improved</v>
      </c>
      <c r="AE44" s="65">
        <v>41</v>
      </c>
      <c r="AF44" s="66">
        <v>1.9589999999999998E-3</v>
      </c>
      <c r="AG44" s="67">
        <f t="shared" si="8"/>
        <v>9594.405975638645</v>
      </c>
      <c r="AH44" s="67">
        <f t="shared" si="2"/>
        <v>18.795441306276103</v>
      </c>
      <c r="AI44" s="66">
        <f t="shared" si="3"/>
        <v>0.99804099999999996</v>
      </c>
      <c r="AJ44" s="66">
        <f t="shared" si="4"/>
        <v>1.9609213501934658E-3</v>
      </c>
      <c r="AL44" s="65">
        <v>41</v>
      </c>
      <c r="AM44" s="66">
        <v>1.815E-3</v>
      </c>
      <c r="AN44" s="67">
        <f t="shared" si="9"/>
        <v>9685.8975867028312</v>
      </c>
      <c r="AO44" s="67">
        <f t="shared" si="5"/>
        <v>17.579904119865638</v>
      </c>
      <c r="AP44" s="66">
        <f t="shared" si="6"/>
        <v>0.99818499999999999</v>
      </c>
      <c r="AQ44" s="66">
        <f t="shared" si="7"/>
        <v>1.8166491082230608E-3</v>
      </c>
    </row>
    <row r="45" spans="2:43" x14ac:dyDescent="0.3">
      <c r="B45" s="16">
        <v>42</v>
      </c>
      <c r="C45" s="14">
        <v>2.14E-3</v>
      </c>
      <c r="D45" s="12">
        <v>1.9689999999999998E-3</v>
      </c>
      <c r="E45" s="3"/>
      <c r="F45" s="20">
        <v>42</v>
      </c>
      <c r="G45" s="18">
        <f t="shared" si="10"/>
        <v>7.9906542056074836E-2</v>
      </c>
      <c r="H45" s="18" t="str">
        <f t="shared" si="1"/>
        <v>Improved</v>
      </c>
      <c r="AE45" s="65">
        <v>42</v>
      </c>
      <c r="AF45" s="66">
        <v>2.14E-3</v>
      </c>
      <c r="AG45" s="67">
        <f t="shared" si="8"/>
        <v>9575.6105343323688</v>
      </c>
      <c r="AH45" s="67">
        <f t="shared" si="2"/>
        <v>20.49180654347127</v>
      </c>
      <c r="AI45" s="66">
        <f t="shared" si="3"/>
        <v>0.99785999999999997</v>
      </c>
      <c r="AJ45" s="66">
        <f t="shared" si="4"/>
        <v>2.1422930720335406E-3</v>
      </c>
      <c r="AL45" s="65">
        <v>42</v>
      </c>
      <c r="AM45" s="66">
        <v>1.9689999999999998E-3</v>
      </c>
      <c r="AN45" s="67">
        <f t="shared" si="9"/>
        <v>9668.3176825829651</v>
      </c>
      <c r="AO45" s="67">
        <f t="shared" si="5"/>
        <v>19.036917517005858</v>
      </c>
      <c r="AP45" s="66">
        <f t="shared" si="6"/>
        <v>0.998031</v>
      </c>
      <c r="AQ45" s="66">
        <f t="shared" si="7"/>
        <v>1.9709410288423703E-3</v>
      </c>
    </row>
    <row r="46" spans="2:43" x14ac:dyDescent="0.3">
      <c r="B46" s="16">
        <v>43</v>
      </c>
      <c r="C46" s="14">
        <v>2.3500000000000001E-3</v>
      </c>
      <c r="D46" s="12">
        <v>2.1440000000000001E-3</v>
      </c>
      <c r="E46" s="3"/>
      <c r="F46" s="20">
        <v>43</v>
      </c>
      <c r="G46" s="18">
        <f t="shared" si="10"/>
        <v>8.7659574468085116E-2</v>
      </c>
      <c r="H46" s="18" t="str">
        <f t="shared" si="1"/>
        <v>Improved</v>
      </c>
      <c r="AE46" s="65">
        <v>43</v>
      </c>
      <c r="AF46" s="66">
        <v>2.3500000000000001E-3</v>
      </c>
      <c r="AG46" s="67">
        <f t="shared" si="8"/>
        <v>9555.1187277888985</v>
      </c>
      <c r="AH46" s="67">
        <f t="shared" si="2"/>
        <v>22.454529010303911</v>
      </c>
      <c r="AI46" s="66">
        <f t="shared" si="3"/>
        <v>0.99765000000000004</v>
      </c>
      <c r="AJ46" s="66">
        <f t="shared" si="4"/>
        <v>2.3527655835971603E-3</v>
      </c>
      <c r="AL46" s="65">
        <v>43</v>
      </c>
      <c r="AM46" s="66">
        <v>2.1440000000000001E-3</v>
      </c>
      <c r="AN46" s="67">
        <f t="shared" si="9"/>
        <v>9649.2807650659597</v>
      </c>
      <c r="AO46" s="67">
        <f t="shared" si="5"/>
        <v>20.688057960301418</v>
      </c>
      <c r="AP46" s="66">
        <f t="shared" si="6"/>
        <v>0.99785599999999997</v>
      </c>
      <c r="AQ46" s="66">
        <f t="shared" si="7"/>
        <v>2.1463016584256016E-3</v>
      </c>
    </row>
    <row r="47" spans="2:43" x14ac:dyDescent="0.3">
      <c r="B47" s="16">
        <v>44</v>
      </c>
      <c r="C47" s="14">
        <v>2.5929999999999998E-3</v>
      </c>
      <c r="D47" s="12">
        <v>2.3449999999999999E-3</v>
      </c>
      <c r="E47" s="3"/>
      <c r="F47" s="20">
        <v>44</v>
      </c>
      <c r="G47" s="18">
        <f t="shared" si="10"/>
        <v>9.5642113382182786E-2</v>
      </c>
      <c r="H47" s="18" t="str">
        <f t="shared" si="1"/>
        <v>Improved</v>
      </c>
      <c r="AE47" s="65">
        <v>44</v>
      </c>
      <c r="AF47" s="66">
        <v>2.5929999999999998E-3</v>
      </c>
      <c r="AG47" s="67">
        <f t="shared" si="8"/>
        <v>9532.6641987785952</v>
      </c>
      <c r="AH47" s="67">
        <f t="shared" si="2"/>
        <v>24.718198267432896</v>
      </c>
      <c r="AI47" s="66">
        <f t="shared" si="3"/>
        <v>0.99740700000000004</v>
      </c>
      <c r="AJ47" s="66">
        <f t="shared" si="4"/>
        <v>2.596367647299268E-3</v>
      </c>
      <c r="AL47" s="65">
        <v>44</v>
      </c>
      <c r="AM47" s="66">
        <v>2.3449999999999999E-3</v>
      </c>
      <c r="AN47" s="67">
        <f t="shared" si="9"/>
        <v>9628.5927071056576</v>
      </c>
      <c r="AO47" s="67">
        <f t="shared" si="5"/>
        <v>22.579049898162765</v>
      </c>
      <c r="AP47" s="66">
        <f t="shared" si="6"/>
        <v>0.99765499999999996</v>
      </c>
      <c r="AQ47" s="66">
        <f t="shared" si="7"/>
        <v>2.3477538184786123E-3</v>
      </c>
    </row>
    <row r="48" spans="2:43" x14ac:dyDescent="0.3">
      <c r="B48" s="16">
        <v>45</v>
      </c>
      <c r="C48" s="14">
        <v>2.8739999999999998E-3</v>
      </c>
      <c r="D48" s="12">
        <v>2.5790000000000001E-3</v>
      </c>
      <c r="E48" s="3"/>
      <c r="F48" s="20">
        <v>45</v>
      </c>
      <c r="G48" s="18">
        <f t="shared" si="10"/>
        <v>0.10264439805149607</v>
      </c>
      <c r="H48" s="18" t="str">
        <f t="shared" si="1"/>
        <v>Improved</v>
      </c>
      <c r="AE48" s="65">
        <v>45</v>
      </c>
      <c r="AF48" s="66">
        <v>2.8739999999999998E-3</v>
      </c>
      <c r="AG48" s="67">
        <f t="shared" si="8"/>
        <v>9507.9460005111614</v>
      </c>
      <c r="AH48" s="67">
        <f t="shared" si="2"/>
        <v>27.325836805469077</v>
      </c>
      <c r="AI48" s="66">
        <f t="shared" si="3"/>
        <v>0.99712599999999996</v>
      </c>
      <c r="AJ48" s="66">
        <f t="shared" si="4"/>
        <v>2.8781378680569495E-3</v>
      </c>
      <c r="AL48" s="65">
        <v>45</v>
      </c>
      <c r="AM48" s="66">
        <v>2.5790000000000001E-3</v>
      </c>
      <c r="AN48" s="67">
        <f t="shared" si="9"/>
        <v>9606.0136572074953</v>
      </c>
      <c r="AO48" s="67">
        <f t="shared" si="5"/>
        <v>24.77390922193813</v>
      </c>
      <c r="AP48" s="66">
        <f t="shared" si="6"/>
        <v>0.997421</v>
      </c>
      <c r="AQ48" s="66">
        <f t="shared" si="7"/>
        <v>2.5823313494327971E-3</v>
      </c>
    </row>
    <row r="49" spans="2:43" x14ac:dyDescent="0.3">
      <c r="B49" s="16">
        <v>46</v>
      </c>
      <c r="C49" s="14">
        <v>3.1970000000000002E-3</v>
      </c>
      <c r="D49" s="12">
        <v>2.8509999999999998E-3</v>
      </c>
      <c r="E49" s="3"/>
      <c r="F49" s="20">
        <v>46</v>
      </c>
      <c r="G49" s="18">
        <f t="shared" si="10"/>
        <v>0.10822646230841425</v>
      </c>
      <c r="H49" s="18" t="str">
        <f t="shared" si="1"/>
        <v>Improved</v>
      </c>
      <c r="AE49" s="65">
        <v>46</v>
      </c>
      <c r="AF49" s="66">
        <v>3.1970000000000002E-3</v>
      </c>
      <c r="AG49" s="67">
        <f t="shared" si="8"/>
        <v>9480.6201637056929</v>
      </c>
      <c r="AH49" s="67">
        <f t="shared" si="2"/>
        <v>30.3095426633671</v>
      </c>
      <c r="AI49" s="66">
        <f t="shared" si="3"/>
        <v>0.99680299999999999</v>
      </c>
      <c r="AJ49" s="66">
        <f t="shared" si="4"/>
        <v>3.2021213226586707E-3</v>
      </c>
      <c r="AL49" s="65">
        <v>46</v>
      </c>
      <c r="AM49" s="66">
        <v>2.8509999999999998E-3</v>
      </c>
      <c r="AN49" s="67">
        <f t="shared" si="9"/>
        <v>9581.2397479855572</v>
      </c>
      <c r="AO49" s="67">
        <f t="shared" si="5"/>
        <v>27.316114521506822</v>
      </c>
      <c r="AP49" s="66">
        <f t="shared" si="6"/>
        <v>0.99714899999999995</v>
      </c>
      <c r="AQ49" s="66">
        <f t="shared" si="7"/>
        <v>2.8550718415550728E-3</v>
      </c>
    </row>
    <row r="50" spans="2:43" x14ac:dyDescent="0.3">
      <c r="B50" s="16">
        <v>47</v>
      </c>
      <c r="C50" s="14">
        <v>3.5669999999999999E-3</v>
      </c>
      <c r="D50" s="12">
        <v>3.1679999999999998E-3</v>
      </c>
      <c r="E50" s="3"/>
      <c r="F50" s="20">
        <v>47</v>
      </c>
      <c r="G50" s="18">
        <f t="shared" si="10"/>
        <v>0.11185870479394451</v>
      </c>
      <c r="H50" s="18" t="str">
        <f t="shared" si="1"/>
        <v>Improved</v>
      </c>
      <c r="AE50" s="65">
        <v>47</v>
      </c>
      <c r="AF50" s="66">
        <v>3.5669999999999999E-3</v>
      </c>
      <c r="AG50" s="67">
        <f t="shared" si="8"/>
        <v>9450.3106210423266</v>
      </c>
      <c r="AH50" s="67">
        <f t="shared" si="2"/>
        <v>33.709257985257977</v>
      </c>
      <c r="AI50" s="66">
        <f t="shared" si="3"/>
        <v>0.99643300000000001</v>
      </c>
      <c r="AJ50" s="66">
        <f t="shared" si="4"/>
        <v>3.5733769133160357E-3</v>
      </c>
      <c r="AL50" s="65">
        <v>47</v>
      </c>
      <c r="AM50" s="66">
        <v>3.1679999999999998E-3</v>
      </c>
      <c r="AN50" s="67">
        <f t="shared" si="9"/>
        <v>9553.92363346405</v>
      </c>
      <c r="AO50" s="67">
        <f t="shared" si="5"/>
        <v>30.266830070814109</v>
      </c>
      <c r="AP50" s="66">
        <f t="shared" si="6"/>
        <v>0.99683200000000005</v>
      </c>
      <c r="AQ50" s="66">
        <f t="shared" si="7"/>
        <v>3.1730287354979295E-3</v>
      </c>
    </row>
    <row r="51" spans="2:43" x14ac:dyDescent="0.3">
      <c r="B51" s="16">
        <v>48</v>
      </c>
      <c r="C51" s="14">
        <v>3.9830000000000004E-3</v>
      </c>
      <c r="D51" s="12">
        <v>3.5360000000000001E-3</v>
      </c>
      <c r="E51" s="3"/>
      <c r="F51" s="20">
        <v>48</v>
      </c>
      <c r="G51" s="18">
        <f t="shared" si="10"/>
        <v>0.11222696459954816</v>
      </c>
      <c r="H51" s="18" t="str">
        <f t="shared" si="1"/>
        <v>Improved</v>
      </c>
      <c r="AE51" s="65">
        <v>48</v>
      </c>
      <c r="AF51" s="66">
        <v>3.9830000000000004E-3</v>
      </c>
      <c r="AG51" s="67">
        <f t="shared" si="8"/>
        <v>9416.6013630570687</v>
      </c>
      <c r="AH51" s="67">
        <f t="shared" si="2"/>
        <v>37.506323229056306</v>
      </c>
      <c r="AI51" s="66">
        <f t="shared" si="3"/>
        <v>0.99601700000000004</v>
      </c>
      <c r="AJ51" s="66">
        <f t="shared" si="4"/>
        <v>3.9909532701077229E-3</v>
      </c>
      <c r="AL51" s="65">
        <v>48</v>
      </c>
      <c r="AM51" s="66">
        <v>3.5360000000000001E-3</v>
      </c>
      <c r="AN51" s="67">
        <f t="shared" si="9"/>
        <v>9523.6568033932363</v>
      </c>
      <c r="AO51" s="67">
        <f t="shared" si="5"/>
        <v>33.675650456798486</v>
      </c>
      <c r="AP51" s="66">
        <f t="shared" si="6"/>
        <v>0.99646400000000002</v>
      </c>
      <c r="AQ51" s="66">
        <f t="shared" si="7"/>
        <v>3.5422664244121899E-3</v>
      </c>
    </row>
    <row r="52" spans="2:43" x14ac:dyDescent="0.3">
      <c r="B52" s="16">
        <v>49</v>
      </c>
      <c r="C52" s="14">
        <v>4.444E-3</v>
      </c>
      <c r="D52" s="12">
        <v>3.9579999999999997E-3</v>
      </c>
      <c r="E52" s="3"/>
      <c r="F52" s="20">
        <v>49</v>
      </c>
      <c r="G52" s="18">
        <f t="shared" si="10"/>
        <v>0.10936093609360943</v>
      </c>
      <c r="H52" s="18" t="str">
        <f t="shared" si="1"/>
        <v>Improved</v>
      </c>
      <c r="AE52" s="65">
        <v>49</v>
      </c>
      <c r="AF52" s="66">
        <v>4.444E-3</v>
      </c>
      <c r="AG52" s="67">
        <f t="shared" si="8"/>
        <v>9379.0950398280129</v>
      </c>
      <c r="AH52" s="67">
        <f t="shared" si="2"/>
        <v>41.680698356995691</v>
      </c>
      <c r="AI52" s="66">
        <f t="shared" si="3"/>
        <v>0.995556</v>
      </c>
      <c r="AJ52" s="66">
        <f t="shared" si="4"/>
        <v>4.4539039209085043E-3</v>
      </c>
      <c r="AL52" s="65">
        <v>49</v>
      </c>
      <c r="AM52" s="66">
        <v>3.9579999999999997E-3</v>
      </c>
      <c r="AN52" s="67">
        <f t="shared" si="9"/>
        <v>9489.9811529364379</v>
      </c>
      <c r="AO52" s="67">
        <f t="shared" si="5"/>
        <v>37.56134540332242</v>
      </c>
      <c r="AP52" s="66">
        <f t="shared" si="6"/>
        <v>0.99604199999999998</v>
      </c>
      <c r="AQ52" s="66">
        <f t="shared" si="7"/>
        <v>3.9658536119136093E-3</v>
      </c>
    </row>
    <row r="53" spans="2:43" x14ac:dyDescent="0.3">
      <c r="B53" s="16">
        <v>50</v>
      </c>
      <c r="C53" s="14">
        <v>4.9459999999999999E-3</v>
      </c>
      <c r="D53" s="12">
        <v>4.4359999999999998E-3</v>
      </c>
      <c r="E53" s="3"/>
      <c r="F53" s="20">
        <v>50</v>
      </c>
      <c r="G53" s="18">
        <f t="shared" si="10"/>
        <v>0.10311362717347353</v>
      </c>
      <c r="H53" s="18" t="str">
        <f t="shared" si="1"/>
        <v>Improved</v>
      </c>
      <c r="AE53" s="65">
        <v>50</v>
      </c>
      <c r="AF53" s="66">
        <v>4.9459999999999999E-3</v>
      </c>
      <c r="AG53" s="67">
        <f t="shared" si="8"/>
        <v>9337.4143414710179</v>
      </c>
      <c r="AH53" s="67">
        <f t="shared" si="2"/>
        <v>46.182851332915654</v>
      </c>
      <c r="AI53" s="66">
        <f t="shared" si="3"/>
        <v>0.99505399999999999</v>
      </c>
      <c r="AJ53" s="66">
        <f t="shared" si="4"/>
        <v>4.9582719393971705E-3</v>
      </c>
      <c r="AL53" s="65">
        <v>50</v>
      </c>
      <c r="AM53" s="66">
        <v>4.4359999999999998E-3</v>
      </c>
      <c r="AN53" s="67">
        <f t="shared" si="9"/>
        <v>9452.4198075331151</v>
      </c>
      <c r="AO53" s="67">
        <f t="shared" si="5"/>
        <v>41.930934266216894</v>
      </c>
      <c r="AP53" s="66">
        <f t="shared" si="6"/>
        <v>0.995564</v>
      </c>
      <c r="AQ53" s="66">
        <f t="shared" si="7"/>
        <v>4.4458682424963029E-3</v>
      </c>
    </row>
    <row r="54" spans="2:43" x14ac:dyDescent="0.3">
      <c r="B54" s="16">
        <v>51</v>
      </c>
      <c r="C54" s="14">
        <v>5.483E-3</v>
      </c>
      <c r="D54" s="12">
        <v>4.9690000000000003E-3</v>
      </c>
      <c r="E54" s="3"/>
      <c r="F54" s="20">
        <v>51</v>
      </c>
      <c r="G54" s="18">
        <f t="shared" si="10"/>
        <v>9.3744300565383853E-2</v>
      </c>
      <c r="H54" s="18" t="str">
        <f t="shared" si="1"/>
        <v>Improved</v>
      </c>
      <c r="AE54" s="65">
        <v>51</v>
      </c>
      <c r="AF54" s="66">
        <v>5.483E-3</v>
      </c>
      <c r="AG54" s="67">
        <f t="shared" si="8"/>
        <v>9291.2314901381014</v>
      </c>
      <c r="AH54" s="67">
        <f t="shared" si="2"/>
        <v>50.943822260427211</v>
      </c>
      <c r="AI54" s="66">
        <f t="shared" si="3"/>
        <v>0.99451699999999998</v>
      </c>
      <c r="AJ54" s="66">
        <f t="shared" si="4"/>
        <v>5.4980868171172065E-3</v>
      </c>
      <c r="AL54" s="65">
        <v>51</v>
      </c>
      <c r="AM54" s="66">
        <v>4.9690000000000003E-3</v>
      </c>
      <c r="AN54" s="67">
        <f t="shared" si="9"/>
        <v>9410.4888732668987</v>
      </c>
      <c r="AO54" s="67">
        <f t="shared" si="5"/>
        <v>46.760719211263222</v>
      </c>
      <c r="AP54" s="66">
        <f t="shared" si="6"/>
        <v>0.995031</v>
      </c>
      <c r="AQ54" s="66">
        <f t="shared" si="7"/>
        <v>4.9813865299810096E-3</v>
      </c>
    </row>
    <row r="55" spans="2:43" x14ac:dyDescent="0.3">
      <c r="B55" s="16">
        <v>52</v>
      </c>
      <c r="C55" s="14">
        <v>6.051E-3</v>
      </c>
      <c r="D55" s="12">
        <v>5.5500000000000002E-3</v>
      </c>
      <c r="E55" s="3"/>
      <c r="F55" s="20">
        <v>52</v>
      </c>
      <c r="G55" s="18">
        <f t="shared" si="10"/>
        <v>8.2796232027763955E-2</v>
      </c>
      <c r="H55" s="18" t="str">
        <f t="shared" si="1"/>
        <v>Improved</v>
      </c>
      <c r="AE55" s="65">
        <v>52</v>
      </c>
      <c r="AF55" s="66">
        <v>6.051E-3</v>
      </c>
      <c r="AG55" s="67">
        <f t="shared" si="8"/>
        <v>9240.2876678776738</v>
      </c>
      <c r="AH55" s="67">
        <f t="shared" si="2"/>
        <v>55.912980678327806</v>
      </c>
      <c r="AI55" s="66">
        <f t="shared" si="3"/>
        <v>0.99394899999999997</v>
      </c>
      <c r="AJ55" s="66">
        <f t="shared" si="4"/>
        <v>6.0693814889381499E-3</v>
      </c>
      <c r="AL55" s="65">
        <v>52</v>
      </c>
      <c r="AM55" s="66">
        <v>5.5500000000000002E-3</v>
      </c>
      <c r="AN55" s="67">
        <f t="shared" si="9"/>
        <v>9363.728154055636</v>
      </c>
      <c r="AO55" s="67">
        <f t="shared" si="5"/>
        <v>51.968691255008785</v>
      </c>
      <c r="AP55" s="66">
        <f t="shared" si="6"/>
        <v>0.99444999999999995</v>
      </c>
      <c r="AQ55" s="66">
        <f t="shared" si="7"/>
        <v>5.565458472881612E-3</v>
      </c>
    </row>
    <row r="56" spans="2:43" x14ac:dyDescent="0.3">
      <c r="B56" s="16">
        <v>53</v>
      </c>
      <c r="C56" s="14">
        <v>6.6429999999999996E-3</v>
      </c>
      <c r="D56" s="12">
        <v>6.1739999999999998E-3</v>
      </c>
      <c r="E56" s="3"/>
      <c r="F56" s="20">
        <v>53</v>
      </c>
      <c r="G56" s="18">
        <f t="shared" si="10"/>
        <v>7.0600632244467831E-2</v>
      </c>
      <c r="H56" s="18" t="str">
        <f t="shared" si="1"/>
        <v>Improved</v>
      </c>
      <c r="AE56" s="65">
        <v>53</v>
      </c>
      <c r="AF56" s="66">
        <v>6.6429999999999996E-3</v>
      </c>
      <c r="AG56" s="67">
        <f t="shared" si="8"/>
        <v>9184.3746871993462</v>
      </c>
      <c r="AH56" s="67">
        <f t="shared" si="2"/>
        <v>61.011801047065255</v>
      </c>
      <c r="AI56" s="66">
        <f t="shared" si="3"/>
        <v>0.99335700000000005</v>
      </c>
      <c r="AJ56" s="66">
        <f t="shared" si="4"/>
        <v>6.6651629312636552E-3</v>
      </c>
      <c r="AL56" s="65">
        <v>53</v>
      </c>
      <c r="AM56" s="66">
        <v>6.1739999999999998E-3</v>
      </c>
      <c r="AN56" s="67">
        <f t="shared" si="9"/>
        <v>9311.7594628006264</v>
      </c>
      <c r="AO56" s="67">
        <f t="shared" si="5"/>
        <v>57.490802923331067</v>
      </c>
      <c r="AP56" s="66">
        <f t="shared" si="6"/>
        <v>0.99382599999999999</v>
      </c>
      <c r="AQ56" s="66">
        <f t="shared" si="7"/>
        <v>6.1931379504662105E-3</v>
      </c>
    </row>
    <row r="57" spans="2:43" x14ac:dyDescent="0.3">
      <c r="B57" s="16">
        <v>54</v>
      </c>
      <c r="C57" s="14">
        <v>7.2560000000000003E-3</v>
      </c>
      <c r="D57" s="12">
        <v>6.8310000000000003E-3</v>
      </c>
      <c r="E57" s="3"/>
      <c r="F57" s="20">
        <v>54</v>
      </c>
      <c r="G57" s="18">
        <f t="shared" si="10"/>
        <v>5.8572216097023157E-2</v>
      </c>
      <c r="H57" s="18" t="str">
        <f t="shared" si="1"/>
        <v>Improved</v>
      </c>
      <c r="AE57" s="65">
        <v>54</v>
      </c>
      <c r="AF57" s="66">
        <v>7.2560000000000003E-3</v>
      </c>
      <c r="AG57" s="67">
        <f t="shared" si="8"/>
        <v>9123.3628861522811</v>
      </c>
      <c r="AH57" s="67">
        <f t="shared" si="2"/>
        <v>66.199121101920952</v>
      </c>
      <c r="AI57" s="66">
        <f t="shared" si="3"/>
        <v>0.99274399999999996</v>
      </c>
      <c r="AJ57" s="66">
        <f t="shared" si="4"/>
        <v>7.2824528067183536E-3</v>
      </c>
      <c r="AL57" s="65">
        <v>54</v>
      </c>
      <c r="AM57" s="66">
        <v>6.8310000000000003E-3</v>
      </c>
      <c r="AN57" s="67">
        <f t="shared" si="9"/>
        <v>9254.2686598772962</v>
      </c>
      <c r="AO57" s="67">
        <f t="shared" si="5"/>
        <v>63.215909215621814</v>
      </c>
      <c r="AP57" s="66">
        <f t="shared" si="6"/>
        <v>0.99316899999999997</v>
      </c>
      <c r="AQ57" s="66">
        <f t="shared" si="7"/>
        <v>6.8544380784918684E-3</v>
      </c>
    </row>
    <row r="58" spans="2:43" x14ac:dyDescent="0.3">
      <c r="B58" s="16">
        <v>55</v>
      </c>
      <c r="C58" s="14">
        <v>7.8879999999999992E-3</v>
      </c>
      <c r="D58" s="12">
        <v>7.5129999999999997E-3</v>
      </c>
      <c r="E58" s="3"/>
      <c r="F58" s="20">
        <v>55</v>
      </c>
      <c r="G58" s="18">
        <f t="shared" si="10"/>
        <v>4.7540567951318398E-2</v>
      </c>
      <c r="H58" s="18" t="str">
        <f t="shared" si="1"/>
        <v>Improved</v>
      </c>
      <c r="AE58" s="65">
        <v>55</v>
      </c>
      <c r="AF58" s="66">
        <v>7.8879999999999992E-3</v>
      </c>
      <c r="AG58" s="67">
        <f t="shared" si="8"/>
        <v>9057.1637650503599</v>
      </c>
      <c r="AH58" s="67">
        <f t="shared" si="2"/>
        <v>71.442907778717228</v>
      </c>
      <c r="AI58" s="66">
        <f t="shared" si="3"/>
        <v>0.99211199999999999</v>
      </c>
      <c r="AJ58" s="66">
        <f t="shared" si="4"/>
        <v>7.9192748445473214E-3</v>
      </c>
      <c r="AL58" s="65">
        <v>55</v>
      </c>
      <c r="AM58" s="66">
        <v>7.5129999999999997E-3</v>
      </c>
      <c r="AN58" s="67">
        <f t="shared" si="9"/>
        <v>9191.0527506616745</v>
      </c>
      <c r="AO58" s="67">
        <f t="shared" si="5"/>
        <v>69.052379315721154</v>
      </c>
      <c r="AP58" s="66">
        <f t="shared" si="6"/>
        <v>0.99248700000000001</v>
      </c>
      <c r="AQ58" s="66">
        <f t="shared" si="7"/>
        <v>7.541364743350037E-3</v>
      </c>
    </row>
    <row r="59" spans="2:43" x14ac:dyDescent="0.3">
      <c r="B59" s="16">
        <v>56</v>
      </c>
      <c r="C59" s="14">
        <v>8.5430000000000002E-3</v>
      </c>
      <c r="D59" s="12">
        <v>8.2120000000000005E-3</v>
      </c>
      <c r="E59" s="3"/>
      <c r="F59" s="20">
        <v>56</v>
      </c>
      <c r="G59" s="18">
        <f t="shared" si="10"/>
        <v>3.8745171485426631E-2</v>
      </c>
      <c r="H59" s="18" t="str">
        <f t="shared" si="1"/>
        <v>Improved</v>
      </c>
      <c r="AE59" s="65">
        <v>56</v>
      </c>
      <c r="AF59" s="66">
        <v>8.5430000000000002E-3</v>
      </c>
      <c r="AG59" s="67">
        <f t="shared" si="8"/>
        <v>8985.7208572716427</v>
      </c>
      <c r="AH59" s="67">
        <f t="shared" si="2"/>
        <v>76.765013283671649</v>
      </c>
      <c r="AI59" s="66">
        <f t="shared" si="3"/>
        <v>0.99145700000000003</v>
      </c>
      <c r="AJ59" s="66">
        <f t="shared" si="4"/>
        <v>8.5797005961164852E-3</v>
      </c>
      <c r="AL59" s="65">
        <v>56</v>
      </c>
      <c r="AM59" s="66">
        <v>8.2120000000000005E-3</v>
      </c>
      <c r="AN59" s="67">
        <f t="shared" si="9"/>
        <v>9122.0003713459537</v>
      </c>
      <c r="AO59" s="67">
        <f t="shared" si="5"/>
        <v>74.909867049492973</v>
      </c>
      <c r="AP59" s="66">
        <f t="shared" si="6"/>
        <v>0.991788</v>
      </c>
      <c r="AQ59" s="66">
        <f t="shared" si="7"/>
        <v>8.245904213850748E-3</v>
      </c>
    </row>
    <row r="60" spans="2:43" x14ac:dyDescent="0.3">
      <c r="B60" s="16">
        <v>57</v>
      </c>
      <c r="C60" s="14">
        <v>9.2250000000000006E-3</v>
      </c>
      <c r="D60" s="12">
        <v>8.9250000000000006E-3</v>
      </c>
      <c r="E60" s="3"/>
      <c r="F60" s="20">
        <v>57</v>
      </c>
      <c r="G60" s="18">
        <f t="shared" si="10"/>
        <v>3.2520325203252022E-2</v>
      </c>
      <c r="H60" s="18" t="str">
        <f t="shared" si="1"/>
        <v>Improved</v>
      </c>
      <c r="AE60" s="65">
        <v>57</v>
      </c>
      <c r="AF60" s="66">
        <v>9.2250000000000006E-3</v>
      </c>
      <c r="AG60" s="67">
        <f t="shared" si="8"/>
        <v>8908.9558439879711</v>
      </c>
      <c r="AH60" s="67">
        <f t="shared" si="2"/>
        <v>82.185117660789032</v>
      </c>
      <c r="AI60" s="66">
        <f t="shared" si="3"/>
        <v>0.99077499999999996</v>
      </c>
      <c r="AJ60" s="66">
        <f t="shared" si="4"/>
        <v>9.2678138209162497E-3</v>
      </c>
      <c r="AL60" s="65">
        <v>57</v>
      </c>
      <c r="AM60" s="66">
        <v>8.9250000000000006E-3</v>
      </c>
      <c r="AN60" s="67">
        <f t="shared" si="9"/>
        <v>9047.0905042964605</v>
      </c>
      <c r="AO60" s="67">
        <f t="shared" si="5"/>
        <v>80.745282750845917</v>
      </c>
      <c r="AP60" s="66">
        <f t="shared" si="6"/>
        <v>0.99107500000000004</v>
      </c>
      <c r="AQ60" s="66">
        <f t="shared" si="7"/>
        <v>8.9650663856497281E-3</v>
      </c>
    </row>
    <row r="61" spans="2:43" x14ac:dyDescent="0.3">
      <c r="B61" s="16">
        <v>58</v>
      </c>
      <c r="C61" s="14">
        <v>9.9439999999999997E-3</v>
      </c>
      <c r="D61" s="12">
        <v>9.6509999999999999E-3</v>
      </c>
      <c r="E61" s="3"/>
      <c r="F61" s="20">
        <v>58</v>
      </c>
      <c r="G61" s="18">
        <f t="shared" si="10"/>
        <v>2.9465004022526133E-2</v>
      </c>
      <c r="H61" s="18" t="str">
        <f t="shared" si="1"/>
        <v>Improved</v>
      </c>
      <c r="AE61" s="65">
        <v>58</v>
      </c>
      <c r="AF61" s="66">
        <v>9.9439999999999997E-3</v>
      </c>
      <c r="AG61" s="67">
        <f t="shared" si="8"/>
        <v>8826.7707263271823</v>
      </c>
      <c r="AH61" s="67">
        <f t="shared" si="2"/>
        <v>87.7734081025975</v>
      </c>
      <c r="AI61" s="66">
        <f t="shared" si="3"/>
        <v>0.99005600000000005</v>
      </c>
      <c r="AJ61" s="66">
        <f t="shared" si="4"/>
        <v>9.99377179671216E-3</v>
      </c>
      <c r="AL61" s="65">
        <v>58</v>
      </c>
      <c r="AM61" s="66">
        <v>9.6509999999999999E-3</v>
      </c>
      <c r="AN61" s="67">
        <f t="shared" si="9"/>
        <v>8966.3452215456145</v>
      </c>
      <c r="AO61" s="67">
        <f t="shared" si="5"/>
        <v>86.534197733136722</v>
      </c>
      <c r="AP61" s="66">
        <f t="shared" si="6"/>
        <v>0.99034900000000003</v>
      </c>
      <c r="AQ61" s="66">
        <f t="shared" si="7"/>
        <v>9.6978727234036007E-3</v>
      </c>
    </row>
    <row r="62" spans="2:43" x14ac:dyDescent="0.3">
      <c r="B62" s="16">
        <v>59</v>
      </c>
      <c r="C62" s="14">
        <v>1.0709E-2</v>
      </c>
      <c r="D62" s="12">
        <v>1.0392999999999999E-2</v>
      </c>
      <c r="E62" s="3"/>
      <c r="F62" s="20">
        <v>59</v>
      </c>
      <c r="G62" s="18">
        <f t="shared" si="10"/>
        <v>2.950789055934264E-2</v>
      </c>
      <c r="H62" s="18" t="str">
        <f t="shared" si="1"/>
        <v>Improved</v>
      </c>
      <c r="AE62" s="65">
        <v>59</v>
      </c>
      <c r="AF62" s="66">
        <v>1.0709E-2</v>
      </c>
      <c r="AG62" s="67">
        <f t="shared" si="8"/>
        <v>8738.9973182245849</v>
      </c>
      <c r="AH62" s="67">
        <f t="shared" si="2"/>
        <v>93.585922280867081</v>
      </c>
      <c r="AI62" s="66">
        <f t="shared" si="3"/>
        <v>0.98929100000000003</v>
      </c>
      <c r="AJ62" s="66">
        <f t="shared" si="4"/>
        <v>1.076675403589583E-2</v>
      </c>
      <c r="AL62" s="65">
        <v>59</v>
      </c>
      <c r="AM62" s="66">
        <v>1.0392999999999999E-2</v>
      </c>
      <c r="AN62" s="67">
        <f t="shared" si="9"/>
        <v>8879.8110238124773</v>
      </c>
      <c r="AO62" s="67">
        <f t="shared" si="5"/>
        <v>92.287875970483071</v>
      </c>
      <c r="AP62" s="66">
        <f t="shared" si="6"/>
        <v>0.98960700000000001</v>
      </c>
      <c r="AQ62" s="66">
        <f t="shared" si="7"/>
        <v>1.0447384363799639E-2</v>
      </c>
    </row>
    <row r="63" spans="2:43" x14ac:dyDescent="0.3">
      <c r="B63" s="16">
        <v>60</v>
      </c>
      <c r="C63" s="14">
        <v>1.1534000000000001E-2</v>
      </c>
      <c r="D63" s="12">
        <v>1.1162E-2</v>
      </c>
      <c r="E63" s="3"/>
      <c r="F63" s="20">
        <v>60</v>
      </c>
      <c r="G63" s="18">
        <f t="shared" si="10"/>
        <v>3.2252470955436166E-2</v>
      </c>
      <c r="H63" s="18" t="str">
        <f t="shared" si="1"/>
        <v>Improved</v>
      </c>
      <c r="AE63" s="65">
        <v>60</v>
      </c>
      <c r="AF63" s="66">
        <v>1.1534000000000001E-2</v>
      </c>
      <c r="AG63" s="67">
        <f t="shared" si="8"/>
        <v>8645.4113959437182</v>
      </c>
      <c r="AH63" s="67">
        <f t="shared" si="2"/>
        <v>99.716175040814846</v>
      </c>
      <c r="AI63" s="66">
        <f t="shared" si="3"/>
        <v>0.98846599999999996</v>
      </c>
      <c r="AJ63" s="66">
        <f t="shared" si="4"/>
        <v>1.1601032511817279E-2</v>
      </c>
      <c r="AL63" s="65">
        <v>60</v>
      </c>
      <c r="AM63" s="66">
        <v>1.1162E-2</v>
      </c>
      <c r="AN63" s="67">
        <f t="shared" si="9"/>
        <v>8787.5231478419937</v>
      </c>
      <c r="AO63" s="67">
        <f t="shared" si="5"/>
        <v>98.086333376212337</v>
      </c>
      <c r="AP63" s="66">
        <f t="shared" si="6"/>
        <v>0.98883799999999999</v>
      </c>
      <c r="AQ63" s="66">
        <f t="shared" si="7"/>
        <v>1.1224762596428458E-2</v>
      </c>
    </row>
    <row r="64" spans="2:43" x14ac:dyDescent="0.3">
      <c r="B64" s="16">
        <v>61</v>
      </c>
      <c r="C64" s="14">
        <v>1.2430999999999999E-2</v>
      </c>
      <c r="D64" s="12">
        <v>1.1969E-2</v>
      </c>
      <c r="E64" s="3"/>
      <c r="F64" s="20">
        <v>61</v>
      </c>
      <c r="G64" s="18">
        <f t="shared" si="10"/>
        <v>3.7165151637036355E-2</v>
      </c>
      <c r="H64" s="18" t="str">
        <f t="shared" si="1"/>
        <v>Improved</v>
      </c>
      <c r="AE64" s="65">
        <v>61</v>
      </c>
      <c r="AF64" s="66">
        <v>1.2430999999999999E-2</v>
      </c>
      <c r="AG64" s="67">
        <f t="shared" si="8"/>
        <v>8545.6952209029041</v>
      </c>
      <c r="AH64" s="67">
        <f t="shared" si="2"/>
        <v>106.23153729104399</v>
      </c>
      <c r="AI64" s="66">
        <f t="shared" si="3"/>
        <v>0.98756900000000003</v>
      </c>
      <c r="AJ64" s="66">
        <f t="shared" si="4"/>
        <v>1.2508911230172112E-2</v>
      </c>
      <c r="AL64" s="65">
        <v>61</v>
      </c>
      <c r="AM64" s="66">
        <v>1.1969E-2</v>
      </c>
      <c r="AN64" s="67">
        <f t="shared" si="9"/>
        <v>8689.4368144657819</v>
      </c>
      <c r="AO64" s="67">
        <f t="shared" si="5"/>
        <v>104.00386923234095</v>
      </c>
      <c r="AP64" s="66">
        <f t="shared" si="6"/>
        <v>0.98803099999999999</v>
      </c>
      <c r="AQ64" s="66">
        <f t="shared" si="7"/>
        <v>1.2041205208283272E-2</v>
      </c>
    </row>
    <row r="65" spans="2:43" x14ac:dyDescent="0.3">
      <c r="B65" s="16">
        <v>62</v>
      </c>
      <c r="C65" s="14">
        <v>1.3414000000000001E-2</v>
      </c>
      <c r="D65" s="12">
        <v>1.2831E-2</v>
      </c>
      <c r="E65" s="3"/>
      <c r="F65" s="20">
        <v>62</v>
      </c>
      <c r="G65" s="18">
        <f t="shared" si="10"/>
        <v>4.3462054569852408E-2</v>
      </c>
      <c r="H65" s="18" t="str">
        <f t="shared" si="1"/>
        <v>Improved</v>
      </c>
      <c r="AE65" s="65">
        <v>62</v>
      </c>
      <c r="AF65" s="66">
        <v>1.3414000000000001E-2</v>
      </c>
      <c r="AG65" s="67">
        <f t="shared" si="8"/>
        <v>8439.4636836118607</v>
      </c>
      <c r="AH65" s="67">
        <f t="shared" si="2"/>
        <v>113.2069658519695</v>
      </c>
      <c r="AI65" s="66">
        <f t="shared" si="3"/>
        <v>0.98658599999999996</v>
      </c>
      <c r="AJ65" s="66">
        <f t="shared" si="4"/>
        <v>1.3504780431163288E-2</v>
      </c>
      <c r="AL65" s="65">
        <v>62</v>
      </c>
      <c r="AM65" s="66">
        <v>1.2831E-2</v>
      </c>
      <c r="AN65" s="67">
        <f t="shared" si="9"/>
        <v>8585.4329452334405</v>
      </c>
      <c r="AO65" s="67">
        <f t="shared" si="5"/>
        <v>110.15969012029028</v>
      </c>
      <c r="AP65" s="66">
        <f t="shared" si="6"/>
        <v>0.98716899999999996</v>
      </c>
      <c r="AQ65" s="66">
        <f t="shared" si="7"/>
        <v>1.2914028268959767E-2</v>
      </c>
    </row>
    <row r="66" spans="2:43" x14ac:dyDescent="0.3">
      <c r="B66" s="16">
        <v>63</v>
      </c>
      <c r="C66" s="14">
        <v>1.4496999999999999E-2</v>
      </c>
      <c r="D66" s="12">
        <v>1.3764999999999999E-2</v>
      </c>
      <c r="E66" s="3"/>
      <c r="F66" s="20">
        <v>63</v>
      </c>
      <c r="G66" s="18">
        <f t="shared" si="10"/>
        <v>5.0493205490791199E-2</v>
      </c>
      <c r="H66" s="18" t="str">
        <f t="shared" si="1"/>
        <v>Improved</v>
      </c>
      <c r="AE66" s="65">
        <v>63</v>
      </c>
      <c r="AF66" s="66">
        <v>1.4496999999999999E-2</v>
      </c>
      <c r="AG66" s="67">
        <f t="shared" si="8"/>
        <v>8326.2567177598903</v>
      </c>
      <c r="AH66" s="67">
        <f t="shared" si="2"/>
        <v>120.70574363736513</v>
      </c>
      <c r="AI66" s="66">
        <f t="shared" si="3"/>
        <v>0.98550300000000002</v>
      </c>
      <c r="AJ66" s="66">
        <f t="shared" si="4"/>
        <v>1.4603108253965083E-2</v>
      </c>
      <c r="AL66" s="65">
        <v>63</v>
      </c>
      <c r="AM66" s="66">
        <v>1.3764999999999999E-2</v>
      </c>
      <c r="AN66" s="67">
        <f t="shared" si="9"/>
        <v>8475.2732551131503</v>
      </c>
      <c r="AO66" s="67">
        <f t="shared" si="5"/>
        <v>116.66213635663252</v>
      </c>
      <c r="AP66" s="66">
        <f t="shared" si="6"/>
        <v>0.98623499999999997</v>
      </c>
      <c r="AQ66" s="66">
        <f t="shared" si="7"/>
        <v>1.3860616063188289E-2</v>
      </c>
    </row>
    <row r="67" spans="2:43" x14ac:dyDescent="0.3">
      <c r="B67" s="16">
        <v>64</v>
      </c>
      <c r="C67" s="14">
        <v>1.5691E-2</v>
      </c>
      <c r="D67" s="12">
        <v>1.4792E-2</v>
      </c>
      <c r="E67" s="3"/>
      <c r="F67" s="20">
        <v>64</v>
      </c>
      <c r="G67" s="18">
        <f t="shared" si="10"/>
        <v>5.729399018545666E-2</v>
      </c>
      <c r="H67" s="18" t="str">
        <f t="shared" si="1"/>
        <v>Improved</v>
      </c>
      <c r="AE67" s="65">
        <v>64</v>
      </c>
      <c r="AF67" s="66">
        <v>1.5691E-2</v>
      </c>
      <c r="AG67" s="67">
        <f t="shared" si="8"/>
        <v>8205.5509741225251</v>
      </c>
      <c r="AH67" s="67">
        <f t="shared" si="2"/>
        <v>128.75330033495655</v>
      </c>
      <c r="AI67" s="66">
        <f t="shared" si="3"/>
        <v>0.98430899999999999</v>
      </c>
      <c r="AJ67" s="66">
        <f t="shared" si="4"/>
        <v>1.5815406834978882E-2</v>
      </c>
      <c r="AL67" s="65">
        <v>64</v>
      </c>
      <c r="AM67" s="66">
        <v>1.4792E-2</v>
      </c>
      <c r="AN67" s="67">
        <f t="shared" si="9"/>
        <v>8358.6111187565184</v>
      </c>
      <c r="AO67" s="67">
        <f t="shared" si="5"/>
        <v>123.64057566864642</v>
      </c>
      <c r="AP67" s="66">
        <f t="shared" si="6"/>
        <v>0.98520799999999997</v>
      </c>
      <c r="AQ67" s="66">
        <f t="shared" si="7"/>
        <v>1.4902492590078774E-2</v>
      </c>
    </row>
    <row r="68" spans="2:43" x14ac:dyDescent="0.3">
      <c r="B68" s="16">
        <v>65</v>
      </c>
      <c r="C68" s="14">
        <v>1.7009E-2</v>
      </c>
      <c r="D68" s="12">
        <v>1.5932000000000002E-2</v>
      </c>
      <c r="E68" s="3"/>
      <c r="F68" s="20">
        <v>65</v>
      </c>
      <c r="G68" s="18">
        <f t="shared" ref="G68:G118" si="11">(C68-D68)/C68</f>
        <v>6.331941913104816E-2</v>
      </c>
      <c r="H68" s="18" t="str">
        <f t="shared" si="1"/>
        <v>Improved</v>
      </c>
      <c r="AE68" s="65">
        <v>65</v>
      </c>
      <c r="AF68" s="66">
        <v>1.7009E-2</v>
      </c>
      <c r="AG68" s="67">
        <f t="shared" si="8"/>
        <v>8076.7976737875688</v>
      </c>
      <c r="AH68" s="67">
        <f t="shared" si="2"/>
        <v>137.37825163345275</v>
      </c>
      <c r="AI68" s="66">
        <f t="shared" si="3"/>
        <v>0.98299099999999995</v>
      </c>
      <c r="AJ68" s="66">
        <f t="shared" si="4"/>
        <v>1.7155314522865422E-2</v>
      </c>
      <c r="AL68" s="65">
        <v>65</v>
      </c>
      <c r="AM68" s="66">
        <v>1.5932000000000002E-2</v>
      </c>
      <c r="AN68" s="67">
        <f t="shared" si="9"/>
        <v>8234.9705430878712</v>
      </c>
      <c r="AO68" s="67">
        <f t="shared" si="5"/>
        <v>131.19955069247598</v>
      </c>
      <c r="AP68" s="66">
        <f t="shared" si="6"/>
        <v>0.98406799999999994</v>
      </c>
      <c r="AQ68" s="66">
        <f t="shared" si="7"/>
        <v>1.6060278626515042E-2</v>
      </c>
    </row>
    <row r="69" spans="2:43" x14ac:dyDescent="0.3">
      <c r="B69" s="16">
        <v>66</v>
      </c>
      <c r="C69" s="14">
        <v>1.8461999999999999E-2</v>
      </c>
      <c r="D69" s="12">
        <v>1.7205999999999999E-2</v>
      </c>
      <c r="E69" s="3"/>
      <c r="F69" s="20">
        <v>66</v>
      </c>
      <c r="G69" s="18">
        <f t="shared" si="11"/>
        <v>6.8031632542519788E-2</v>
      </c>
      <c r="H69" s="18" t="str">
        <f t="shared" si="1"/>
        <v>Improved</v>
      </c>
      <c r="AE69" s="65">
        <v>66</v>
      </c>
      <c r="AF69" s="66">
        <v>1.8461999999999999E-2</v>
      </c>
      <c r="AG69" s="67">
        <f t="shared" si="8"/>
        <v>7939.4194221541156</v>
      </c>
      <c r="AH69" s="67">
        <f t="shared" si="2"/>
        <v>146.57756137180928</v>
      </c>
      <c r="AI69" s="66">
        <f t="shared" si="3"/>
        <v>0.98153800000000002</v>
      </c>
      <c r="AJ69" s="66">
        <f t="shared" si="4"/>
        <v>1.8634549764439182E-2</v>
      </c>
      <c r="AL69" s="65">
        <v>66</v>
      </c>
      <c r="AM69" s="66">
        <v>1.7205999999999999E-2</v>
      </c>
      <c r="AN69" s="67">
        <f t="shared" si="9"/>
        <v>8103.7709923953953</v>
      </c>
      <c r="AO69" s="67">
        <f t="shared" si="5"/>
        <v>139.43348369515516</v>
      </c>
      <c r="AP69" s="66">
        <f t="shared" si="6"/>
        <v>0.98279399999999995</v>
      </c>
      <c r="AQ69" s="66">
        <f t="shared" si="7"/>
        <v>1.7355743359853688E-2</v>
      </c>
    </row>
    <row r="70" spans="2:43" x14ac:dyDescent="0.3">
      <c r="B70" s="16">
        <v>67</v>
      </c>
      <c r="C70" s="14">
        <v>2.0060999999999999E-2</v>
      </c>
      <c r="D70" s="12">
        <v>1.8634999999999999E-2</v>
      </c>
      <c r="E70" s="3"/>
      <c r="F70" s="20">
        <v>67</v>
      </c>
      <c r="G70" s="18">
        <f t="shared" si="11"/>
        <v>7.1083196251433139E-2</v>
      </c>
      <c r="H70" s="18" t="str">
        <f t="shared" ref="H70:H118" si="12">IF(G70&gt;0,"Improved","Deteriorated")</f>
        <v>Improved</v>
      </c>
      <c r="AE70" s="65">
        <v>67</v>
      </c>
      <c r="AF70" s="66">
        <v>2.0060999999999999E-2</v>
      </c>
      <c r="AG70" s="67">
        <f t="shared" si="8"/>
        <v>7792.841860782306</v>
      </c>
      <c r="AH70" s="67">
        <f t="shared" ref="AH70:AH118" si="13">AG70*AF70</f>
        <v>156.33220056915383</v>
      </c>
      <c r="AI70" s="66">
        <f t="shared" ref="AI70:AI117" si="14">1-AF70</f>
        <v>0.979939</v>
      </c>
      <c r="AJ70" s="66">
        <f t="shared" ref="AJ70:AJ117" si="15">-LN(AI70)</f>
        <v>2.0264954152772682E-2</v>
      </c>
      <c r="AL70" s="65">
        <v>67</v>
      </c>
      <c r="AM70" s="66">
        <v>1.8634999999999999E-2</v>
      </c>
      <c r="AN70" s="67">
        <f t="shared" si="9"/>
        <v>7964.3375087002405</v>
      </c>
      <c r="AO70" s="67">
        <f t="shared" ref="AO70:AO118" si="16">AN70*AM70</f>
        <v>148.41542947462898</v>
      </c>
      <c r="AP70" s="66">
        <f t="shared" ref="AP70:AP118" si="17">1-AM70</f>
        <v>0.98136500000000004</v>
      </c>
      <c r="AQ70" s="66">
        <f t="shared" ref="AQ70:AQ118" si="18">IFERROR(-LN(AP70),"N/A")</f>
        <v>1.8810819300374395E-2</v>
      </c>
    </row>
    <row r="71" spans="2:43" x14ac:dyDescent="0.3">
      <c r="B71" s="16">
        <v>68</v>
      </c>
      <c r="C71" s="14">
        <v>2.1819000000000002E-2</v>
      </c>
      <c r="D71" s="12">
        <v>2.0240000000000001E-2</v>
      </c>
      <c r="E71" s="3"/>
      <c r="F71" s="20">
        <v>68</v>
      </c>
      <c r="G71" s="18">
        <f t="shared" si="11"/>
        <v>7.2368119528851027E-2</v>
      </c>
      <c r="H71" s="18" t="str">
        <f t="shared" si="12"/>
        <v>Improved</v>
      </c>
      <c r="AE71" s="65">
        <v>68</v>
      </c>
      <c r="AF71" s="66">
        <v>2.1819000000000002E-2</v>
      </c>
      <c r="AG71" s="67">
        <f t="shared" ref="AG71:AG118" si="19">AG70-AH70</f>
        <v>7636.5096602131525</v>
      </c>
      <c r="AH71" s="67">
        <f t="shared" si="13"/>
        <v>166.62100427619077</v>
      </c>
      <c r="AI71" s="66">
        <f t="shared" si="14"/>
        <v>0.97818099999999997</v>
      </c>
      <c r="AJ71" s="66">
        <f t="shared" si="15"/>
        <v>2.2060554496308796E-2</v>
      </c>
      <c r="AL71" s="65">
        <v>68</v>
      </c>
      <c r="AM71" s="66">
        <v>2.0240000000000001E-2</v>
      </c>
      <c r="AN71" s="67">
        <f t="shared" ref="AN71:AN118" si="20">AN70-AO70</f>
        <v>7815.9220792256119</v>
      </c>
      <c r="AO71" s="67">
        <f t="shared" si="16"/>
        <v>158.19426288352639</v>
      </c>
      <c r="AP71" s="66">
        <f t="shared" si="17"/>
        <v>0.97975999999999996</v>
      </c>
      <c r="AQ71" s="66">
        <f t="shared" si="18"/>
        <v>2.0447635269105185E-2</v>
      </c>
    </row>
    <row r="72" spans="2:43" x14ac:dyDescent="0.3">
      <c r="B72" s="16">
        <v>69</v>
      </c>
      <c r="C72" s="14">
        <v>2.3746E-2</v>
      </c>
      <c r="D72" s="12">
        <v>2.2040000000000001E-2</v>
      </c>
      <c r="E72" s="3"/>
      <c r="F72" s="20">
        <v>69</v>
      </c>
      <c r="G72" s="18">
        <f t="shared" si="11"/>
        <v>7.1843678935399613E-2</v>
      </c>
      <c r="H72" s="18" t="str">
        <f t="shared" si="12"/>
        <v>Improved</v>
      </c>
      <c r="AE72" s="65">
        <v>69</v>
      </c>
      <c r="AF72" s="66">
        <v>2.3746E-2</v>
      </c>
      <c r="AG72" s="67">
        <f t="shared" si="19"/>
        <v>7469.8886559369621</v>
      </c>
      <c r="AH72" s="67">
        <f t="shared" si="13"/>
        <v>177.3799760238791</v>
      </c>
      <c r="AI72" s="66">
        <f t="shared" si="14"/>
        <v>0.97625399999999996</v>
      </c>
      <c r="AJ72" s="66">
        <f t="shared" si="15"/>
        <v>2.4032480525495767E-2</v>
      </c>
      <c r="AL72" s="65">
        <v>69</v>
      </c>
      <c r="AM72" s="66">
        <v>2.2040000000000001E-2</v>
      </c>
      <c r="AN72" s="67">
        <f t="shared" si="20"/>
        <v>7657.7278163420851</v>
      </c>
      <c r="AO72" s="67">
        <f t="shared" si="16"/>
        <v>168.77632107217957</v>
      </c>
      <c r="AP72" s="66">
        <f t="shared" si="17"/>
        <v>0.97796000000000005</v>
      </c>
      <c r="AQ72" s="66">
        <f t="shared" si="18"/>
        <v>2.2286509579240131E-2</v>
      </c>
    </row>
    <row r="73" spans="2:43" x14ac:dyDescent="0.3">
      <c r="B73" s="16">
        <v>70</v>
      </c>
      <c r="C73" s="14">
        <v>2.5855E-2</v>
      </c>
      <c r="D73" s="12">
        <v>2.4058E-2</v>
      </c>
      <c r="E73" s="3"/>
      <c r="F73" s="20">
        <v>70</v>
      </c>
      <c r="G73" s="18">
        <f t="shared" si="11"/>
        <v>6.9502997485979504E-2</v>
      </c>
      <c r="H73" s="18" t="str">
        <f t="shared" si="12"/>
        <v>Improved</v>
      </c>
      <c r="AE73" s="65">
        <v>70</v>
      </c>
      <c r="AF73" s="66">
        <v>2.5855E-2</v>
      </c>
      <c r="AG73" s="67">
        <f t="shared" si="19"/>
        <v>7292.5086799130831</v>
      </c>
      <c r="AH73" s="67">
        <f t="shared" si="13"/>
        <v>188.54781191915276</v>
      </c>
      <c r="AI73" s="66">
        <f t="shared" si="14"/>
        <v>0.97414500000000004</v>
      </c>
      <c r="AJ73" s="66">
        <f t="shared" si="15"/>
        <v>2.6195115783185161E-2</v>
      </c>
      <c r="AL73" s="65">
        <v>70</v>
      </c>
      <c r="AM73" s="66">
        <v>2.4058E-2</v>
      </c>
      <c r="AN73" s="67">
        <f t="shared" si="20"/>
        <v>7488.9514952699055</v>
      </c>
      <c r="AO73" s="67">
        <f t="shared" si="16"/>
        <v>180.16919507320338</v>
      </c>
      <c r="AP73" s="66">
        <f t="shared" si="17"/>
        <v>0.97594199999999998</v>
      </c>
      <c r="AQ73" s="66">
        <f t="shared" si="18"/>
        <v>2.4352120564361122E-2</v>
      </c>
    </row>
    <row r="74" spans="2:43" x14ac:dyDescent="0.3">
      <c r="B74" s="16">
        <v>71</v>
      </c>
      <c r="C74" s="14">
        <v>2.8159E-2</v>
      </c>
      <c r="D74" s="12">
        <v>2.6314000000000001E-2</v>
      </c>
      <c r="E74" s="3"/>
      <c r="F74" s="20">
        <v>71</v>
      </c>
      <c r="G74" s="18">
        <f t="shared" si="11"/>
        <v>6.5520792641784134E-2</v>
      </c>
      <c r="H74" s="18" t="str">
        <f t="shared" si="12"/>
        <v>Improved</v>
      </c>
      <c r="AE74" s="65">
        <v>71</v>
      </c>
      <c r="AF74" s="66">
        <v>2.8159E-2</v>
      </c>
      <c r="AG74" s="67">
        <f t="shared" si="19"/>
        <v>7103.9608679939302</v>
      </c>
      <c r="AH74" s="67">
        <f t="shared" si="13"/>
        <v>200.04043408184108</v>
      </c>
      <c r="AI74" s="66">
        <f t="shared" si="14"/>
        <v>0.97184099999999995</v>
      </c>
      <c r="AJ74" s="66">
        <f t="shared" si="15"/>
        <v>2.8563068149319425E-2</v>
      </c>
      <c r="AL74" s="65">
        <v>71</v>
      </c>
      <c r="AM74" s="66">
        <v>2.6314000000000001E-2</v>
      </c>
      <c r="AN74" s="67">
        <f t="shared" si="20"/>
        <v>7308.7823001967017</v>
      </c>
      <c r="AO74" s="67">
        <f t="shared" si="16"/>
        <v>192.32329744737601</v>
      </c>
      <c r="AP74" s="66">
        <f t="shared" si="17"/>
        <v>0.97368600000000005</v>
      </c>
      <c r="AQ74" s="66">
        <f t="shared" si="18"/>
        <v>2.6666409246012258E-2</v>
      </c>
    </row>
    <row r="75" spans="2:43" x14ac:dyDescent="0.3">
      <c r="B75" s="16">
        <v>72</v>
      </c>
      <c r="C75" s="14">
        <v>3.0672999999999999E-2</v>
      </c>
      <c r="D75" s="12">
        <v>2.8832E-2</v>
      </c>
      <c r="E75" s="3"/>
      <c r="F75" s="20">
        <v>72</v>
      </c>
      <c r="G75" s="18">
        <f t="shared" si="11"/>
        <v>6.0020213216835622E-2</v>
      </c>
      <c r="H75" s="18" t="str">
        <f t="shared" si="12"/>
        <v>Improved</v>
      </c>
      <c r="AE75" s="65">
        <v>72</v>
      </c>
      <c r="AF75" s="66">
        <v>3.0672999999999999E-2</v>
      </c>
      <c r="AG75" s="67">
        <f t="shared" si="19"/>
        <v>6903.9204339120888</v>
      </c>
      <c r="AH75" s="67">
        <f t="shared" si="13"/>
        <v>211.76395146938549</v>
      </c>
      <c r="AI75" s="66">
        <f t="shared" si="14"/>
        <v>0.96932700000000005</v>
      </c>
      <c r="AJ75" s="66">
        <f t="shared" si="15"/>
        <v>3.1153262718318971E-2</v>
      </c>
      <c r="AL75" s="65">
        <v>72</v>
      </c>
      <c r="AM75" s="66">
        <v>2.8832E-2</v>
      </c>
      <c r="AN75" s="67">
        <f t="shared" si="20"/>
        <v>7116.4590027493259</v>
      </c>
      <c r="AO75" s="67">
        <f t="shared" si="16"/>
        <v>205.18174596726857</v>
      </c>
      <c r="AP75" s="66">
        <f t="shared" si="17"/>
        <v>0.97116800000000003</v>
      </c>
      <c r="AQ75" s="66">
        <f t="shared" si="18"/>
        <v>2.9255808148890897E-2</v>
      </c>
    </row>
    <row r="76" spans="2:43" x14ac:dyDescent="0.3">
      <c r="B76" s="16">
        <v>73</v>
      </c>
      <c r="C76" s="14">
        <v>3.3411999999999997E-2</v>
      </c>
      <c r="D76" s="12">
        <v>3.1637999999999999E-2</v>
      </c>
      <c r="E76" s="3"/>
      <c r="F76" s="20">
        <v>73</v>
      </c>
      <c r="G76" s="18">
        <f t="shared" si="11"/>
        <v>5.3094696516221652E-2</v>
      </c>
      <c r="H76" s="18" t="str">
        <f t="shared" si="12"/>
        <v>Improved</v>
      </c>
      <c r="AE76" s="65">
        <v>73</v>
      </c>
      <c r="AF76" s="66">
        <v>3.3411999999999997E-2</v>
      </c>
      <c r="AG76" s="67">
        <f t="shared" si="19"/>
        <v>6692.1564824427032</v>
      </c>
      <c r="AH76" s="67">
        <f t="shared" si="13"/>
        <v>223.59833239137558</v>
      </c>
      <c r="AI76" s="66">
        <f t="shared" si="14"/>
        <v>0.966588</v>
      </c>
      <c r="AJ76" s="66">
        <f t="shared" si="15"/>
        <v>3.3982934297501904E-2</v>
      </c>
      <c r="AL76" s="65">
        <v>73</v>
      </c>
      <c r="AM76" s="66">
        <v>3.1637999999999999E-2</v>
      </c>
      <c r="AN76" s="67">
        <f t="shared" si="20"/>
        <v>6911.2772567820575</v>
      </c>
      <c r="AO76" s="67">
        <f t="shared" si="16"/>
        <v>218.65898985007072</v>
      </c>
      <c r="AP76" s="66">
        <f t="shared" si="17"/>
        <v>0.96836199999999995</v>
      </c>
      <c r="AQ76" s="66">
        <f t="shared" si="18"/>
        <v>3.214929467161988E-2</v>
      </c>
    </row>
    <row r="77" spans="2:43" x14ac:dyDescent="0.3">
      <c r="B77" s="16">
        <v>74</v>
      </c>
      <c r="C77" s="14">
        <v>3.6394000000000003E-2</v>
      </c>
      <c r="D77" s="12">
        <v>3.4757000000000003E-2</v>
      </c>
      <c r="E77" s="3"/>
      <c r="F77" s="20">
        <v>74</v>
      </c>
      <c r="G77" s="18">
        <f t="shared" si="11"/>
        <v>4.4979941748639868E-2</v>
      </c>
      <c r="H77" s="18" t="str">
        <f t="shared" si="12"/>
        <v>Improved</v>
      </c>
      <c r="AE77" s="65">
        <v>74</v>
      </c>
      <c r="AF77" s="66">
        <v>3.6394000000000003E-2</v>
      </c>
      <c r="AG77" s="67">
        <f t="shared" si="19"/>
        <v>6468.5581500513281</v>
      </c>
      <c r="AH77" s="67">
        <f t="shared" si="13"/>
        <v>235.41670531296805</v>
      </c>
      <c r="AI77" s="66">
        <f t="shared" si="14"/>
        <v>0.96360599999999996</v>
      </c>
      <c r="AJ77" s="66">
        <f t="shared" si="15"/>
        <v>3.7072781610744031E-2</v>
      </c>
      <c r="AL77" s="65">
        <v>74</v>
      </c>
      <c r="AM77" s="66">
        <v>3.4757000000000003E-2</v>
      </c>
      <c r="AN77" s="67">
        <f t="shared" si="20"/>
        <v>6692.6182669319869</v>
      </c>
      <c r="AO77" s="67">
        <f t="shared" si="16"/>
        <v>232.61533310375509</v>
      </c>
      <c r="AP77" s="66">
        <f t="shared" si="17"/>
        <v>0.96524299999999996</v>
      </c>
      <c r="AQ77" s="66">
        <f t="shared" si="18"/>
        <v>3.5375395871339296E-2</v>
      </c>
    </row>
    <row r="78" spans="2:43" x14ac:dyDescent="0.3">
      <c r="B78" s="16">
        <v>75</v>
      </c>
      <c r="C78" s="14">
        <v>3.9636999999999999E-2</v>
      </c>
      <c r="D78" s="12">
        <v>3.8220999999999998E-2</v>
      </c>
      <c r="E78" s="3"/>
      <c r="F78" s="20">
        <v>75</v>
      </c>
      <c r="G78" s="18">
        <f t="shared" si="11"/>
        <v>3.5724197088578873E-2</v>
      </c>
      <c r="H78" s="18" t="str">
        <f t="shared" si="12"/>
        <v>Improved</v>
      </c>
      <c r="AE78" s="65">
        <v>75</v>
      </c>
      <c r="AF78" s="66">
        <v>3.9636999999999999E-2</v>
      </c>
      <c r="AG78" s="67">
        <f t="shared" si="19"/>
        <v>6233.1414447383604</v>
      </c>
      <c r="AH78" s="67">
        <f t="shared" si="13"/>
        <v>247.06302744509438</v>
      </c>
      <c r="AI78" s="66">
        <f t="shared" si="14"/>
        <v>0.96036299999999997</v>
      </c>
      <c r="AJ78" s="66">
        <f t="shared" si="15"/>
        <v>4.0443940991496834E-2</v>
      </c>
      <c r="AL78" s="65">
        <v>75</v>
      </c>
      <c r="AM78" s="66">
        <v>3.8220999999999998E-2</v>
      </c>
      <c r="AN78" s="67">
        <f t="shared" si="20"/>
        <v>6460.002933828232</v>
      </c>
      <c r="AO78" s="67">
        <f t="shared" si="16"/>
        <v>246.90777213384885</v>
      </c>
      <c r="AP78" s="66">
        <f t="shared" si="17"/>
        <v>0.96177900000000005</v>
      </c>
      <c r="AQ78" s="66">
        <f t="shared" si="18"/>
        <v>3.8970584438076682E-2</v>
      </c>
    </row>
    <row r="79" spans="2:43" x14ac:dyDescent="0.3">
      <c r="B79" s="16">
        <v>76</v>
      </c>
      <c r="C79" s="14">
        <v>4.3161999999999999E-2</v>
      </c>
      <c r="D79" s="12">
        <v>4.2061000000000001E-2</v>
      </c>
      <c r="E79" s="3"/>
      <c r="F79" s="20">
        <v>76</v>
      </c>
      <c r="G79" s="18">
        <f t="shared" si="11"/>
        <v>2.5508549186784621E-2</v>
      </c>
      <c r="H79" s="18" t="str">
        <f t="shared" si="12"/>
        <v>Improved</v>
      </c>
      <c r="AE79" s="65">
        <v>76</v>
      </c>
      <c r="AF79" s="66">
        <v>4.3161999999999999E-2</v>
      </c>
      <c r="AG79" s="67">
        <f t="shared" si="19"/>
        <v>5986.0784172932663</v>
      </c>
      <c r="AH79" s="67">
        <f t="shared" si="13"/>
        <v>258.37111664721198</v>
      </c>
      <c r="AI79" s="66">
        <f t="shared" si="14"/>
        <v>0.95683799999999997</v>
      </c>
      <c r="AJ79" s="66">
        <f t="shared" si="15"/>
        <v>4.412118085535454E-2</v>
      </c>
      <c r="AL79" s="65">
        <v>76</v>
      </c>
      <c r="AM79" s="66">
        <v>4.2061000000000001E-2</v>
      </c>
      <c r="AN79" s="67">
        <f t="shared" si="20"/>
        <v>6213.095161694383</v>
      </c>
      <c r="AO79" s="67">
        <f t="shared" si="16"/>
        <v>261.32899559602743</v>
      </c>
      <c r="AP79" s="66">
        <f t="shared" si="17"/>
        <v>0.95793899999999998</v>
      </c>
      <c r="AQ79" s="66">
        <f t="shared" si="18"/>
        <v>4.2971177360075323E-2</v>
      </c>
    </row>
    <row r="80" spans="2:43" x14ac:dyDescent="0.3">
      <c r="B80" s="16">
        <v>77</v>
      </c>
      <c r="C80" s="14">
        <v>4.6990999999999998E-2</v>
      </c>
      <c r="D80" s="12">
        <v>4.6316000000000003E-2</v>
      </c>
      <c r="E80" s="3"/>
      <c r="F80" s="20">
        <v>77</v>
      </c>
      <c r="G80" s="18">
        <f t="shared" si="11"/>
        <v>1.4364452767551128E-2</v>
      </c>
      <c r="H80" s="18" t="str">
        <f t="shared" si="12"/>
        <v>Improved</v>
      </c>
      <c r="AE80" s="65">
        <v>77</v>
      </c>
      <c r="AF80" s="66">
        <v>4.6990999999999998E-2</v>
      </c>
      <c r="AG80" s="67">
        <f t="shared" si="19"/>
        <v>5727.7073006460541</v>
      </c>
      <c r="AH80" s="67">
        <f t="shared" si="13"/>
        <v>269.15069376465874</v>
      </c>
      <c r="AI80" s="66">
        <f t="shared" si="14"/>
        <v>0.953009</v>
      </c>
      <c r="AJ80" s="66">
        <f t="shared" si="15"/>
        <v>4.8130931511037894E-2</v>
      </c>
      <c r="AL80" s="65">
        <v>77</v>
      </c>
      <c r="AM80" s="66">
        <v>4.6316000000000003E-2</v>
      </c>
      <c r="AN80" s="67">
        <f t="shared" si="20"/>
        <v>5951.7661660983558</v>
      </c>
      <c r="AO80" s="67">
        <f t="shared" si="16"/>
        <v>275.66200174901144</v>
      </c>
      <c r="AP80" s="66">
        <f t="shared" si="17"/>
        <v>0.95368399999999998</v>
      </c>
      <c r="AQ80" s="66">
        <f t="shared" si="18"/>
        <v>4.7422899302183456E-2</v>
      </c>
    </row>
    <row r="81" spans="2:43" x14ac:dyDescent="0.3">
      <c r="B81" s="16">
        <v>78</v>
      </c>
      <c r="C81" s="14">
        <v>5.1149E-2</v>
      </c>
      <c r="D81" s="12">
        <v>5.1024E-2</v>
      </c>
      <c r="E81" s="3"/>
      <c r="F81" s="20">
        <v>78</v>
      </c>
      <c r="G81" s="18">
        <f t="shared" si="11"/>
        <v>2.4438405442921683E-3</v>
      </c>
      <c r="H81" s="18" t="str">
        <f t="shared" si="12"/>
        <v>Improved</v>
      </c>
      <c r="AE81" s="65">
        <v>78</v>
      </c>
      <c r="AF81" s="66">
        <v>5.1149E-2</v>
      </c>
      <c r="AG81" s="67">
        <f t="shared" si="19"/>
        <v>5458.5566068813951</v>
      </c>
      <c r="AH81" s="67">
        <f t="shared" si="13"/>
        <v>279.19971188537647</v>
      </c>
      <c r="AI81" s="66">
        <f t="shared" si="14"/>
        <v>0.948851</v>
      </c>
      <c r="AJ81" s="66">
        <f t="shared" si="15"/>
        <v>5.2503500075343032E-2</v>
      </c>
      <c r="AL81" s="65">
        <v>78</v>
      </c>
      <c r="AM81" s="66">
        <v>5.1024E-2</v>
      </c>
      <c r="AN81" s="67">
        <f t="shared" si="20"/>
        <v>5676.1041643493445</v>
      </c>
      <c r="AO81" s="67">
        <f t="shared" si="16"/>
        <v>289.61753888176094</v>
      </c>
      <c r="AP81" s="66">
        <f t="shared" si="17"/>
        <v>0.94897600000000004</v>
      </c>
      <c r="AQ81" s="66">
        <f t="shared" si="18"/>
        <v>5.2371770470715423E-2</v>
      </c>
    </row>
    <row r="82" spans="2:43" x14ac:dyDescent="0.3">
      <c r="B82" s="16">
        <v>79</v>
      </c>
      <c r="C82" s="14">
        <v>5.5662000000000003E-2</v>
      </c>
      <c r="D82" s="12">
        <v>5.6231000000000003E-2</v>
      </c>
      <c r="E82" s="3"/>
      <c r="F82" s="20">
        <v>79</v>
      </c>
      <c r="G82" s="18">
        <f t="shared" si="11"/>
        <v>-1.0222413855053718E-2</v>
      </c>
      <c r="H82" s="18" t="str">
        <f t="shared" si="12"/>
        <v>Deteriorated</v>
      </c>
      <c r="AE82" s="65">
        <v>79</v>
      </c>
      <c r="AF82" s="66">
        <v>5.5662000000000003E-2</v>
      </c>
      <c r="AG82" s="67">
        <f t="shared" si="19"/>
        <v>5179.356894996019</v>
      </c>
      <c r="AH82" s="67">
        <f t="shared" si="13"/>
        <v>288.29336348926842</v>
      </c>
      <c r="AI82" s="66">
        <f t="shared" si="14"/>
        <v>0.94433800000000001</v>
      </c>
      <c r="AJ82" s="66">
        <f t="shared" si="15"/>
        <v>5.7271126074086763E-2</v>
      </c>
      <c r="AL82" s="65">
        <v>79</v>
      </c>
      <c r="AM82" s="66">
        <v>5.6231000000000003E-2</v>
      </c>
      <c r="AN82" s="67">
        <f t="shared" si="20"/>
        <v>5386.4866254675835</v>
      </c>
      <c r="AO82" s="67">
        <f t="shared" si="16"/>
        <v>302.88752943666771</v>
      </c>
      <c r="AP82" s="66">
        <f t="shared" si="17"/>
        <v>0.94376899999999997</v>
      </c>
      <c r="AQ82" s="66">
        <f t="shared" si="18"/>
        <v>5.787384617122656E-2</v>
      </c>
    </row>
    <row r="83" spans="2:43" x14ac:dyDescent="0.3">
      <c r="B83" s="16">
        <v>80</v>
      </c>
      <c r="C83" s="14">
        <v>6.0558000000000001E-2</v>
      </c>
      <c r="D83" s="12">
        <v>6.1984999999999998E-2</v>
      </c>
      <c r="E83" s="3"/>
      <c r="F83" s="20">
        <v>80</v>
      </c>
      <c r="G83" s="18">
        <f t="shared" si="11"/>
        <v>-2.3564186399815015E-2</v>
      </c>
      <c r="H83" s="18" t="str">
        <f t="shared" si="12"/>
        <v>Deteriorated</v>
      </c>
      <c r="AE83" s="65">
        <v>80</v>
      </c>
      <c r="AF83" s="66">
        <v>6.0558000000000001E-2</v>
      </c>
      <c r="AG83" s="67">
        <f t="shared" si="19"/>
        <v>4891.0635315067502</v>
      </c>
      <c r="AH83" s="67">
        <f t="shared" si="13"/>
        <v>296.1930253409858</v>
      </c>
      <c r="AI83" s="66">
        <f t="shared" si="14"/>
        <v>0.939442</v>
      </c>
      <c r="AJ83" s="66">
        <f t="shared" si="15"/>
        <v>6.2469196999705587E-2</v>
      </c>
      <c r="AL83" s="65">
        <v>80</v>
      </c>
      <c r="AM83" s="66">
        <v>6.1984999999999998E-2</v>
      </c>
      <c r="AN83" s="67">
        <f t="shared" si="20"/>
        <v>5083.5990960309155</v>
      </c>
      <c r="AO83" s="67">
        <f t="shared" si="16"/>
        <v>315.10688996747626</v>
      </c>
      <c r="AP83" s="66">
        <f t="shared" si="17"/>
        <v>0.93801500000000004</v>
      </c>
      <c r="AQ83" s="66">
        <f t="shared" si="18"/>
        <v>6.3989338632559192E-2</v>
      </c>
    </row>
    <row r="84" spans="2:43" x14ac:dyDescent="0.3">
      <c r="B84" s="16">
        <v>81</v>
      </c>
      <c r="C84" s="14">
        <v>6.5869999999999998E-2</v>
      </c>
      <c r="D84" s="12">
        <v>6.8337999999999996E-2</v>
      </c>
      <c r="E84" s="3"/>
      <c r="F84" s="20">
        <v>81</v>
      </c>
      <c r="G84" s="18">
        <f t="shared" si="11"/>
        <v>-3.7467739486868046E-2</v>
      </c>
      <c r="H84" s="18" t="str">
        <f t="shared" si="12"/>
        <v>Deteriorated</v>
      </c>
      <c r="AE84" s="65">
        <v>81</v>
      </c>
      <c r="AF84" s="66">
        <v>6.5869999999999998E-2</v>
      </c>
      <c r="AG84" s="67">
        <f t="shared" si="19"/>
        <v>4594.8705061657647</v>
      </c>
      <c r="AH84" s="67">
        <f t="shared" si="13"/>
        <v>302.6641202411389</v>
      </c>
      <c r="AI84" s="66">
        <f t="shared" si="14"/>
        <v>0.93413000000000002</v>
      </c>
      <c r="AJ84" s="66">
        <f t="shared" si="15"/>
        <v>6.8139664143304912E-2</v>
      </c>
      <c r="AL84" s="65">
        <v>81</v>
      </c>
      <c r="AM84" s="66">
        <v>6.8337999999999996E-2</v>
      </c>
      <c r="AN84" s="67">
        <f t="shared" si="20"/>
        <v>4768.492206063439</v>
      </c>
      <c r="AO84" s="67">
        <f t="shared" si="16"/>
        <v>325.86922037796325</v>
      </c>
      <c r="AP84" s="66">
        <f t="shared" si="17"/>
        <v>0.93166199999999999</v>
      </c>
      <c r="AQ84" s="66">
        <f t="shared" si="18"/>
        <v>7.0785191018135851E-2</v>
      </c>
    </row>
    <row r="85" spans="2:43" x14ac:dyDescent="0.3">
      <c r="B85" s="16">
        <v>82</v>
      </c>
      <c r="C85" s="14">
        <v>7.1629999999999999E-2</v>
      </c>
      <c r="D85" s="12">
        <v>7.535E-2</v>
      </c>
      <c r="E85" s="3"/>
      <c r="F85" s="20">
        <v>82</v>
      </c>
      <c r="G85" s="18">
        <f t="shared" si="11"/>
        <v>-5.1933547396342331E-2</v>
      </c>
      <c r="H85" s="18" t="str">
        <f t="shared" si="12"/>
        <v>Deteriorated</v>
      </c>
      <c r="AE85" s="65">
        <v>82</v>
      </c>
      <c r="AF85" s="66">
        <v>7.1629999999999999E-2</v>
      </c>
      <c r="AG85" s="67">
        <f t="shared" si="19"/>
        <v>4292.2063859246255</v>
      </c>
      <c r="AH85" s="67">
        <f t="shared" si="13"/>
        <v>307.45074342378092</v>
      </c>
      <c r="AI85" s="66">
        <f t="shared" si="14"/>
        <v>0.92837000000000003</v>
      </c>
      <c r="AJ85" s="66">
        <f t="shared" si="15"/>
        <v>7.4324918761858608E-2</v>
      </c>
      <c r="AL85" s="65">
        <v>82</v>
      </c>
      <c r="AM85" s="66">
        <v>7.535E-2</v>
      </c>
      <c r="AN85" s="67">
        <f t="shared" si="20"/>
        <v>4442.6229856854761</v>
      </c>
      <c r="AO85" s="67">
        <f t="shared" si="16"/>
        <v>334.7516419714006</v>
      </c>
      <c r="AP85" s="66">
        <f t="shared" si="17"/>
        <v>0.92464999999999997</v>
      </c>
      <c r="AQ85" s="66">
        <f t="shared" si="18"/>
        <v>7.8339991451251506E-2</v>
      </c>
    </row>
    <row r="86" spans="2:43" x14ac:dyDescent="0.3">
      <c r="B86" s="16">
        <v>83</v>
      </c>
      <c r="C86" s="14">
        <v>7.7876000000000001E-2</v>
      </c>
      <c r="D86" s="12">
        <v>8.3082000000000003E-2</v>
      </c>
      <c r="E86" s="3"/>
      <c r="F86" s="20">
        <v>83</v>
      </c>
      <c r="G86" s="18">
        <f t="shared" si="11"/>
        <v>-6.6849863886178057E-2</v>
      </c>
      <c r="H86" s="18" t="str">
        <f t="shared" si="12"/>
        <v>Deteriorated</v>
      </c>
      <c r="AE86" s="65">
        <v>83</v>
      </c>
      <c r="AF86" s="66">
        <v>7.7876000000000001E-2</v>
      </c>
      <c r="AG86" s="67">
        <f t="shared" si="19"/>
        <v>3984.7556425008447</v>
      </c>
      <c r="AH86" s="67">
        <f t="shared" si="13"/>
        <v>310.31683041539577</v>
      </c>
      <c r="AI86" s="66">
        <f t="shared" si="14"/>
        <v>0.92212399999999994</v>
      </c>
      <c r="AJ86" s="66">
        <f t="shared" si="15"/>
        <v>8.1075574229932931E-2</v>
      </c>
      <c r="AL86" s="65">
        <v>83</v>
      </c>
      <c r="AM86" s="66">
        <v>8.3082000000000003E-2</v>
      </c>
      <c r="AN86" s="67">
        <f t="shared" si="20"/>
        <v>4107.8713437140759</v>
      </c>
      <c r="AO86" s="67">
        <f t="shared" si="16"/>
        <v>341.29016697845287</v>
      </c>
      <c r="AP86" s="66">
        <f t="shared" si="17"/>
        <v>0.91691800000000001</v>
      </c>
      <c r="AQ86" s="66">
        <f t="shared" si="18"/>
        <v>8.6737232752413462E-2</v>
      </c>
    </row>
    <row r="87" spans="2:43" x14ac:dyDescent="0.3">
      <c r="B87" s="16">
        <v>84</v>
      </c>
      <c r="C87" s="14">
        <v>8.4644999999999998E-2</v>
      </c>
      <c r="D87" s="12">
        <v>9.1601000000000002E-2</v>
      </c>
      <c r="E87" s="3"/>
      <c r="F87" s="20">
        <v>84</v>
      </c>
      <c r="G87" s="18">
        <f t="shared" si="11"/>
        <v>-8.2178510248685735E-2</v>
      </c>
      <c r="H87" s="18" t="str">
        <f t="shared" si="12"/>
        <v>Deteriorated</v>
      </c>
      <c r="AE87" s="65">
        <v>84</v>
      </c>
      <c r="AF87" s="66">
        <v>8.4644999999999998E-2</v>
      </c>
      <c r="AG87" s="67">
        <f t="shared" si="19"/>
        <v>3674.4388120854492</v>
      </c>
      <c r="AH87" s="67">
        <f t="shared" si="13"/>
        <v>311.02287324897281</v>
      </c>
      <c r="AI87" s="66">
        <f t="shared" si="14"/>
        <v>0.91535500000000003</v>
      </c>
      <c r="AJ87" s="66">
        <f t="shared" si="15"/>
        <v>8.8443310808597159E-2</v>
      </c>
      <c r="AL87" s="65">
        <v>84</v>
      </c>
      <c r="AM87" s="66">
        <v>9.1601000000000002E-2</v>
      </c>
      <c r="AN87" s="67">
        <f t="shared" si="20"/>
        <v>3766.5811767356231</v>
      </c>
      <c r="AO87" s="67">
        <f t="shared" si="16"/>
        <v>345.0226023701598</v>
      </c>
      <c r="AP87" s="66">
        <f t="shared" si="17"/>
        <v>0.90839899999999996</v>
      </c>
      <c r="AQ87" s="66">
        <f t="shared" si="18"/>
        <v>9.6071569587975456E-2</v>
      </c>
    </row>
    <row r="88" spans="2:43" x14ac:dyDescent="0.3">
      <c r="B88" s="16">
        <v>85</v>
      </c>
      <c r="C88" s="14">
        <v>9.1981999999999994E-2</v>
      </c>
      <c r="D88" s="12">
        <v>0.100979</v>
      </c>
      <c r="E88" s="3"/>
      <c r="F88" s="20">
        <v>85</v>
      </c>
      <c r="G88" s="18">
        <f t="shared" si="11"/>
        <v>-9.7812615511730622E-2</v>
      </c>
      <c r="H88" s="18" t="str">
        <f t="shared" si="12"/>
        <v>Deteriorated</v>
      </c>
      <c r="AE88" s="65">
        <v>85</v>
      </c>
      <c r="AF88" s="66">
        <v>9.1981999999999994E-2</v>
      </c>
      <c r="AG88" s="67">
        <f t="shared" si="19"/>
        <v>3363.4159388364765</v>
      </c>
      <c r="AH88" s="67">
        <f t="shared" si="13"/>
        <v>309.37372488605678</v>
      </c>
      <c r="AI88" s="66">
        <f t="shared" si="14"/>
        <v>0.90801799999999999</v>
      </c>
      <c r="AJ88" s="66">
        <f t="shared" si="15"/>
        <v>9.6491076788786212E-2</v>
      </c>
      <c r="AL88" s="65">
        <v>85</v>
      </c>
      <c r="AM88" s="66">
        <v>0.100979</v>
      </c>
      <c r="AN88" s="67">
        <f t="shared" si="20"/>
        <v>3421.5585743654633</v>
      </c>
      <c r="AO88" s="67">
        <f t="shared" si="16"/>
        <v>345.50556328085014</v>
      </c>
      <c r="AP88" s="66">
        <f t="shared" si="17"/>
        <v>0.89902099999999996</v>
      </c>
      <c r="AQ88" s="66">
        <f t="shared" si="18"/>
        <v>0.10644888549524285</v>
      </c>
    </row>
    <row r="89" spans="2:43" x14ac:dyDescent="0.3">
      <c r="B89" s="16">
        <v>86</v>
      </c>
      <c r="C89" s="14">
        <v>9.9930000000000005E-2</v>
      </c>
      <c r="D89" s="12">
        <v>0.111291</v>
      </c>
      <c r="E89" s="3"/>
      <c r="F89" s="20">
        <v>86</v>
      </c>
      <c r="G89" s="18">
        <f t="shared" si="11"/>
        <v>-0.11368958270789548</v>
      </c>
      <c r="H89" s="18" t="str">
        <f t="shared" si="12"/>
        <v>Deteriorated</v>
      </c>
      <c r="AE89" s="65">
        <v>86</v>
      </c>
      <c r="AF89" s="66">
        <v>9.9930000000000005E-2</v>
      </c>
      <c r="AG89" s="67">
        <f t="shared" si="19"/>
        <v>3054.0422139504199</v>
      </c>
      <c r="AH89" s="67">
        <f t="shared" si="13"/>
        <v>305.19043844006546</v>
      </c>
      <c r="AI89" s="66">
        <f t="shared" si="14"/>
        <v>0.90007000000000004</v>
      </c>
      <c r="AJ89" s="66">
        <f t="shared" si="15"/>
        <v>0.10528274090458302</v>
      </c>
      <c r="AL89" s="65">
        <v>86</v>
      </c>
      <c r="AM89" s="66">
        <v>0.111291</v>
      </c>
      <c r="AN89" s="67">
        <f t="shared" si="20"/>
        <v>3076.053011084613</v>
      </c>
      <c r="AO89" s="67">
        <f t="shared" si="16"/>
        <v>342.33701565661767</v>
      </c>
      <c r="AP89" s="66">
        <f t="shared" si="17"/>
        <v>0.88870899999999997</v>
      </c>
      <c r="AQ89" s="66">
        <f t="shared" si="18"/>
        <v>0.11798543113696702</v>
      </c>
    </row>
    <row r="90" spans="2:43" x14ac:dyDescent="0.3">
      <c r="B90" s="16">
        <v>87</v>
      </c>
      <c r="C90" s="14">
        <v>0.10854</v>
      </c>
      <c r="D90" s="12">
        <v>0.122616</v>
      </c>
      <c r="E90" s="3"/>
      <c r="F90" s="20">
        <v>87</v>
      </c>
      <c r="G90" s="18">
        <f t="shared" si="11"/>
        <v>-0.12968490878938646</v>
      </c>
      <c r="H90" s="18" t="str">
        <f t="shared" si="12"/>
        <v>Deteriorated</v>
      </c>
      <c r="AE90" s="65">
        <v>87</v>
      </c>
      <c r="AF90" s="66">
        <v>0.10854</v>
      </c>
      <c r="AG90" s="67">
        <f t="shared" si="19"/>
        <v>2748.8517755103544</v>
      </c>
      <c r="AH90" s="67">
        <f t="shared" si="13"/>
        <v>298.36037171389387</v>
      </c>
      <c r="AI90" s="66">
        <f t="shared" si="14"/>
        <v>0.89146000000000003</v>
      </c>
      <c r="AJ90" s="66">
        <f t="shared" si="15"/>
        <v>0.11489471088521319</v>
      </c>
      <c r="AL90" s="65">
        <v>87</v>
      </c>
      <c r="AM90" s="66">
        <v>0.122616</v>
      </c>
      <c r="AN90" s="67">
        <f t="shared" si="20"/>
        <v>2733.7159954279955</v>
      </c>
      <c r="AO90" s="67">
        <f t="shared" si="16"/>
        <v>335.19732049539908</v>
      </c>
      <c r="AP90" s="66">
        <f t="shared" si="17"/>
        <v>0.87738399999999994</v>
      </c>
      <c r="AQ90" s="66">
        <f t="shared" si="18"/>
        <v>0.13081052611267149</v>
      </c>
    </row>
    <row r="91" spans="2:43" x14ac:dyDescent="0.3">
      <c r="B91" s="16">
        <v>88</v>
      </c>
      <c r="C91" s="14">
        <v>0.117866</v>
      </c>
      <c r="D91" s="12">
        <v>0.13503699999999999</v>
      </c>
      <c r="E91" s="3"/>
      <c r="F91" s="20">
        <v>88</v>
      </c>
      <c r="G91" s="18">
        <f t="shared" si="11"/>
        <v>-0.14568238508136352</v>
      </c>
      <c r="H91" s="18" t="str">
        <f t="shared" si="12"/>
        <v>Deteriorated</v>
      </c>
      <c r="AE91" s="65">
        <v>88</v>
      </c>
      <c r="AF91" s="66">
        <v>0.117866</v>
      </c>
      <c r="AG91" s="67">
        <f t="shared" si="19"/>
        <v>2450.4914037964604</v>
      </c>
      <c r="AH91" s="67">
        <f t="shared" si="13"/>
        <v>288.82961979987363</v>
      </c>
      <c r="AI91" s="66">
        <f t="shared" si="14"/>
        <v>0.88213399999999997</v>
      </c>
      <c r="AJ91" s="66">
        <f t="shared" si="15"/>
        <v>0.12541130707750842</v>
      </c>
      <c r="AL91" s="65">
        <v>88</v>
      </c>
      <c r="AM91" s="66">
        <v>0.13503699999999999</v>
      </c>
      <c r="AN91" s="67">
        <f t="shared" si="20"/>
        <v>2398.5186749325962</v>
      </c>
      <c r="AO91" s="67">
        <f t="shared" si="16"/>
        <v>323.88876630687298</v>
      </c>
      <c r="AP91" s="66">
        <f t="shared" si="17"/>
        <v>0.86496300000000004</v>
      </c>
      <c r="AQ91" s="66">
        <f t="shared" si="18"/>
        <v>0.14506854753158954</v>
      </c>
    </row>
    <row r="92" spans="2:43" x14ac:dyDescent="0.3">
      <c r="B92" s="16">
        <v>89</v>
      </c>
      <c r="C92" s="14">
        <v>0.12796299999999999</v>
      </c>
      <c r="D92" s="12">
        <v>0.14863899999999999</v>
      </c>
      <c r="E92" s="3"/>
      <c r="F92" s="20">
        <v>89</v>
      </c>
      <c r="G92" s="18">
        <f t="shared" si="11"/>
        <v>-0.16157795612794323</v>
      </c>
      <c r="H92" s="18" t="str">
        <f t="shared" si="12"/>
        <v>Deteriorated</v>
      </c>
      <c r="AE92" s="65">
        <v>89</v>
      </c>
      <c r="AF92" s="66">
        <v>0.12796299999999999</v>
      </c>
      <c r="AG92" s="67">
        <f t="shared" si="19"/>
        <v>2161.6617839965866</v>
      </c>
      <c r="AH92" s="67">
        <f t="shared" si="13"/>
        <v>276.6127268655552</v>
      </c>
      <c r="AI92" s="66">
        <f t="shared" si="14"/>
        <v>0.87203699999999995</v>
      </c>
      <c r="AJ92" s="66">
        <f t="shared" si="15"/>
        <v>0.13692342478067451</v>
      </c>
      <c r="AL92" s="65">
        <v>89</v>
      </c>
      <c r="AM92" s="66">
        <v>0.14863899999999999</v>
      </c>
      <c r="AN92" s="67">
        <f t="shared" si="20"/>
        <v>2074.6299086257231</v>
      </c>
      <c r="AO92" s="67">
        <f t="shared" si="16"/>
        <v>308.37091498821883</v>
      </c>
      <c r="AP92" s="66">
        <f t="shared" si="17"/>
        <v>0.85136100000000003</v>
      </c>
      <c r="AQ92" s="66">
        <f t="shared" si="18"/>
        <v>0.16091903354352544</v>
      </c>
    </row>
    <row r="93" spans="2:43" x14ac:dyDescent="0.3">
      <c r="B93" s="16">
        <v>90</v>
      </c>
      <c r="C93" s="14">
        <v>0.13889499999999999</v>
      </c>
      <c r="D93" s="12">
        <v>0.16350700000000001</v>
      </c>
      <c r="E93" s="3"/>
      <c r="F93" s="20">
        <v>90</v>
      </c>
      <c r="G93" s="18">
        <f t="shared" si="11"/>
        <v>-0.17719860326145667</v>
      </c>
      <c r="H93" s="18" t="str">
        <f t="shared" si="12"/>
        <v>Deteriorated</v>
      </c>
      <c r="AE93" s="65">
        <v>90</v>
      </c>
      <c r="AF93" s="66">
        <v>0.13889499999999999</v>
      </c>
      <c r="AG93" s="67">
        <f t="shared" si="19"/>
        <v>1885.0490571310313</v>
      </c>
      <c r="AH93" s="67">
        <f t="shared" si="13"/>
        <v>261.8238887902146</v>
      </c>
      <c r="AI93" s="66">
        <f t="shared" si="14"/>
        <v>0.86110500000000001</v>
      </c>
      <c r="AJ93" s="66">
        <f t="shared" si="15"/>
        <v>0.14953883077033953</v>
      </c>
      <c r="AL93" s="65">
        <v>90</v>
      </c>
      <c r="AM93" s="66">
        <v>0.16350700000000001</v>
      </c>
      <c r="AN93" s="67">
        <f t="shared" si="20"/>
        <v>1766.2589936375043</v>
      </c>
      <c r="AO93" s="67">
        <f t="shared" si="16"/>
        <v>288.79570927268742</v>
      </c>
      <c r="AP93" s="66">
        <f t="shared" si="17"/>
        <v>0.83649299999999993</v>
      </c>
      <c r="AQ93" s="66">
        <f t="shared" si="18"/>
        <v>0.17853712679110889</v>
      </c>
    </row>
    <row r="94" spans="2:43" x14ac:dyDescent="0.3">
      <c r="B94" s="16">
        <v>91</v>
      </c>
      <c r="C94" s="14">
        <v>0.150727</v>
      </c>
      <c r="D94" s="12">
        <v>0.179726</v>
      </c>
      <c r="E94" s="3"/>
      <c r="F94" s="20">
        <v>91</v>
      </c>
      <c r="G94" s="18">
        <f t="shared" si="11"/>
        <v>-0.19239419612942602</v>
      </c>
      <c r="H94" s="18" t="str">
        <f t="shared" si="12"/>
        <v>Deteriorated</v>
      </c>
      <c r="AE94" s="65">
        <v>91</v>
      </c>
      <c r="AF94" s="66">
        <v>0.150727</v>
      </c>
      <c r="AG94" s="67">
        <f t="shared" si="19"/>
        <v>1623.2251683408167</v>
      </c>
      <c r="AH94" s="67">
        <f t="shared" si="13"/>
        <v>244.66385994850629</v>
      </c>
      <c r="AI94" s="66">
        <f t="shared" si="14"/>
        <v>0.84927299999999994</v>
      </c>
      <c r="AJ94" s="66">
        <f t="shared" si="15"/>
        <v>0.16337458958812695</v>
      </c>
      <c r="AL94" s="65">
        <v>91</v>
      </c>
      <c r="AM94" s="66">
        <v>0.179726</v>
      </c>
      <c r="AN94" s="67">
        <f t="shared" si="20"/>
        <v>1477.4632843648169</v>
      </c>
      <c r="AO94" s="67">
        <f t="shared" si="16"/>
        <v>265.5385662457511</v>
      </c>
      <c r="AP94" s="66">
        <f t="shared" si="17"/>
        <v>0.82027399999999995</v>
      </c>
      <c r="AQ94" s="66">
        <f t="shared" si="18"/>
        <v>0.19811684819683054</v>
      </c>
    </row>
    <row r="95" spans="2:43" x14ac:dyDescent="0.3">
      <c r="B95" s="16">
        <v>92</v>
      </c>
      <c r="C95" s="14">
        <v>0.16353200000000001</v>
      </c>
      <c r="D95" s="12">
        <v>0.19738</v>
      </c>
      <c r="E95" s="3"/>
      <c r="F95" s="20">
        <v>92</v>
      </c>
      <c r="G95" s="18">
        <f t="shared" si="11"/>
        <v>-0.20698089670523193</v>
      </c>
      <c r="H95" s="18" t="str">
        <f t="shared" si="12"/>
        <v>Deteriorated</v>
      </c>
      <c r="AE95" s="65">
        <v>92</v>
      </c>
      <c r="AF95" s="66">
        <v>0.16353200000000001</v>
      </c>
      <c r="AG95" s="67">
        <f t="shared" si="19"/>
        <v>1378.5613083923104</v>
      </c>
      <c r="AH95" s="67">
        <f t="shared" si="13"/>
        <v>225.43888788401131</v>
      </c>
      <c r="AI95" s="66">
        <f t="shared" si="14"/>
        <v>0.83646799999999999</v>
      </c>
      <c r="AJ95" s="66">
        <f t="shared" si="15"/>
        <v>0.1785670139193824</v>
      </c>
      <c r="AL95" s="65">
        <v>92</v>
      </c>
      <c r="AM95" s="66">
        <v>0.19738</v>
      </c>
      <c r="AN95" s="67">
        <f t="shared" si="20"/>
        <v>1211.9247181190658</v>
      </c>
      <c r="AO95" s="67">
        <f t="shared" si="16"/>
        <v>239.20970086234121</v>
      </c>
      <c r="AP95" s="66">
        <f t="shared" si="17"/>
        <v>0.80262</v>
      </c>
      <c r="AQ95" s="66">
        <f t="shared" si="18"/>
        <v>0.21987390244658708</v>
      </c>
    </row>
    <row r="96" spans="2:43" x14ac:dyDescent="0.3">
      <c r="B96" s="16">
        <v>93</v>
      </c>
      <c r="C96" s="14">
        <v>0.17738699999999999</v>
      </c>
      <c r="D96" s="12">
        <v>0.21654699999999999</v>
      </c>
      <c r="E96" s="3"/>
      <c r="F96" s="20">
        <v>93</v>
      </c>
      <c r="G96" s="18">
        <f t="shared" si="11"/>
        <v>-0.22076025864353083</v>
      </c>
      <c r="H96" s="18" t="str">
        <f t="shared" si="12"/>
        <v>Deteriorated</v>
      </c>
      <c r="AE96" s="65">
        <v>93</v>
      </c>
      <c r="AF96" s="66">
        <v>0.17738699999999999</v>
      </c>
      <c r="AG96" s="67">
        <f t="shared" si="19"/>
        <v>1153.122420508299</v>
      </c>
      <c r="AH96" s="67">
        <f t="shared" si="13"/>
        <v>204.54892680670562</v>
      </c>
      <c r="AI96" s="66">
        <f t="shared" si="14"/>
        <v>0.82261300000000004</v>
      </c>
      <c r="AJ96" s="66">
        <f t="shared" si="15"/>
        <v>0.19526941976096768</v>
      </c>
      <c r="AL96" s="65">
        <v>93</v>
      </c>
      <c r="AM96" s="66">
        <v>0.21654699999999999</v>
      </c>
      <c r="AN96" s="67">
        <f t="shared" si="20"/>
        <v>972.71501725672465</v>
      </c>
      <c r="AO96" s="67">
        <f t="shared" si="16"/>
        <v>210.63851884189194</v>
      </c>
      <c r="AP96" s="66">
        <f t="shared" si="17"/>
        <v>0.78345299999999995</v>
      </c>
      <c r="AQ96" s="66">
        <f t="shared" si="18"/>
        <v>0.24404420622212597</v>
      </c>
    </row>
    <row r="97" spans="2:43" x14ac:dyDescent="0.3">
      <c r="B97" s="16">
        <v>94</v>
      </c>
      <c r="C97" s="14">
        <v>0.19237399999999999</v>
      </c>
      <c r="D97" s="12">
        <v>0.23730200000000001</v>
      </c>
      <c r="E97" s="3"/>
      <c r="F97" s="20">
        <v>94</v>
      </c>
      <c r="G97" s="18">
        <f t="shared" si="11"/>
        <v>-0.23354507365860264</v>
      </c>
      <c r="H97" s="18" t="str">
        <f t="shared" si="12"/>
        <v>Deteriorated</v>
      </c>
      <c r="AE97" s="65">
        <v>94</v>
      </c>
      <c r="AF97" s="66">
        <v>0.19237399999999999</v>
      </c>
      <c r="AG97" s="67">
        <f t="shared" si="19"/>
        <v>948.57349370159341</v>
      </c>
      <c r="AH97" s="67">
        <f t="shared" si="13"/>
        <v>182.48087727735032</v>
      </c>
      <c r="AI97" s="66">
        <f t="shared" si="14"/>
        <v>0.80762599999999996</v>
      </c>
      <c r="AJ97" s="66">
        <f t="shared" si="15"/>
        <v>0.21365619890615284</v>
      </c>
      <c r="AL97" s="65">
        <v>94</v>
      </c>
      <c r="AM97" s="66">
        <v>0.23730200000000001</v>
      </c>
      <c r="AN97" s="67">
        <f t="shared" si="20"/>
        <v>762.07649841483271</v>
      </c>
      <c r="AO97" s="67">
        <f t="shared" si="16"/>
        <v>180.84227722683664</v>
      </c>
      <c r="AP97" s="66">
        <f t="shared" si="17"/>
        <v>0.76269799999999999</v>
      </c>
      <c r="AQ97" s="66">
        <f t="shared" si="18"/>
        <v>0.27089313207839527</v>
      </c>
    </row>
    <row r="98" spans="2:43" x14ac:dyDescent="0.3">
      <c r="B98" s="16">
        <v>95</v>
      </c>
      <c r="C98" s="14">
        <v>0.20858499999999999</v>
      </c>
      <c r="D98" s="12">
        <v>0.25970599999999999</v>
      </c>
      <c r="E98" s="3"/>
      <c r="F98" s="20">
        <v>95</v>
      </c>
      <c r="G98" s="18">
        <f t="shared" si="11"/>
        <v>-0.24508473763693459</v>
      </c>
      <c r="H98" s="18" t="str">
        <f t="shared" si="12"/>
        <v>Deteriorated</v>
      </c>
      <c r="AE98" s="65">
        <v>95</v>
      </c>
      <c r="AF98" s="66">
        <v>0.20858499999999999</v>
      </c>
      <c r="AG98" s="67">
        <f t="shared" si="19"/>
        <v>766.09261642424303</v>
      </c>
      <c r="AH98" s="67">
        <f t="shared" si="13"/>
        <v>159.79542839685072</v>
      </c>
      <c r="AI98" s="66">
        <f t="shared" si="14"/>
        <v>0.79141499999999998</v>
      </c>
      <c r="AJ98" s="66">
        <f t="shared" si="15"/>
        <v>0.23393279645759021</v>
      </c>
      <c r="AL98" s="65">
        <v>95</v>
      </c>
      <c r="AM98" s="66">
        <v>0.25970599999999999</v>
      </c>
      <c r="AN98" s="67">
        <f t="shared" si="20"/>
        <v>581.23422118799613</v>
      </c>
      <c r="AO98" s="67">
        <f t="shared" si="16"/>
        <v>150.95001464784971</v>
      </c>
      <c r="AP98" s="66">
        <f t="shared" si="17"/>
        <v>0.74029400000000001</v>
      </c>
      <c r="AQ98" s="66">
        <f t="shared" si="18"/>
        <v>0.30070787438829794</v>
      </c>
    </row>
    <row r="99" spans="2:43" x14ac:dyDescent="0.3">
      <c r="B99" s="16">
        <v>96</v>
      </c>
      <c r="C99" s="14">
        <v>0.22611400000000001</v>
      </c>
      <c r="D99" s="12">
        <v>0.28381299999999998</v>
      </c>
      <c r="E99" s="3"/>
      <c r="F99" s="20">
        <v>96</v>
      </c>
      <c r="G99" s="18">
        <f t="shared" si="11"/>
        <v>-0.25517659233837786</v>
      </c>
      <c r="H99" s="18" t="str">
        <f t="shared" si="12"/>
        <v>Deteriorated</v>
      </c>
      <c r="AE99" s="65">
        <v>96</v>
      </c>
      <c r="AF99" s="66">
        <v>0.22611400000000001</v>
      </c>
      <c r="AG99" s="67">
        <f t="shared" si="19"/>
        <v>606.29718802739228</v>
      </c>
      <c r="AH99" s="67">
        <f t="shared" si="13"/>
        <v>137.09228237362578</v>
      </c>
      <c r="AI99" s="66">
        <f t="shared" si="14"/>
        <v>0.77388599999999996</v>
      </c>
      <c r="AJ99" s="66">
        <f t="shared" si="15"/>
        <v>0.25633070306188449</v>
      </c>
      <c r="AL99" s="65">
        <v>96</v>
      </c>
      <c r="AM99" s="66">
        <v>0.28381299999999998</v>
      </c>
      <c r="AN99" s="67">
        <f t="shared" si="20"/>
        <v>430.28420654014644</v>
      </c>
      <c r="AO99" s="67">
        <f t="shared" si="16"/>
        <v>122.12025151077857</v>
      </c>
      <c r="AP99" s="66">
        <f t="shared" si="17"/>
        <v>0.71618700000000002</v>
      </c>
      <c r="AQ99" s="66">
        <f t="shared" si="18"/>
        <v>0.33381397293691284</v>
      </c>
    </row>
    <row r="100" spans="2:43" x14ac:dyDescent="0.3">
      <c r="B100" s="16">
        <v>97</v>
      </c>
      <c r="C100" s="14">
        <v>0.24506700000000001</v>
      </c>
      <c r="D100" s="12">
        <v>0.30965900000000002</v>
      </c>
      <c r="E100" s="3"/>
      <c r="F100" s="20">
        <v>97</v>
      </c>
      <c r="G100" s="18">
        <f t="shared" si="11"/>
        <v>-0.26356873834502403</v>
      </c>
      <c r="H100" s="18" t="str">
        <f t="shared" si="12"/>
        <v>Deteriorated</v>
      </c>
      <c r="AE100" s="65">
        <v>97</v>
      </c>
      <c r="AF100" s="66">
        <v>0.24506700000000001</v>
      </c>
      <c r="AG100" s="67">
        <f t="shared" si="19"/>
        <v>469.2049056537665</v>
      </c>
      <c r="AH100" s="67">
        <f t="shared" si="13"/>
        <v>114.9866386138516</v>
      </c>
      <c r="AI100" s="66">
        <f t="shared" si="14"/>
        <v>0.75493299999999997</v>
      </c>
      <c r="AJ100" s="66">
        <f t="shared" si="15"/>
        <v>0.28112627539274626</v>
      </c>
      <c r="AL100" s="65">
        <v>97</v>
      </c>
      <c r="AM100" s="66">
        <v>0.30965900000000002</v>
      </c>
      <c r="AN100" s="67">
        <f t="shared" si="20"/>
        <v>308.16395502936786</v>
      </c>
      <c r="AO100" s="67">
        <f t="shared" si="16"/>
        <v>95.425742150439021</v>
      </c>
      <c r="AP100" s="66">
        <f t="shared" si="17"/>
        <v>0.69034099999999998</v>
      </c>
      <c r="AQ100" s="66">
        <f t="shared" si="18"/>
        <v>0.37056960057031452</v>
      </c>
    </row>
    <row r="101" spans="2:43" x14ac:dyDescent="0.3">
      <c r="B101" s="16">
        <v>98</v>
      </c>
      <c r="C101" s="14">
        <v>0.26555499999999999</v>
      </c>
      <c r="D101" s="12">
        <v>0.33726499999999998</v>
      </c>
      <c r="E101" s="3"/>
      <c r="F101" s="20">
        <v>98</v>
      </c>
      <c r="G101" s="18">
        <f t="shared" si="11"/>
        <v>-0.27003822183728415</v>
      </c>
      <c r="H101" s="18" t="str">
        <f t="shared" si="12"/>
        <v>Deteriorated</v>
      </c>
      <c r="AE101" s="65">
        <v>98</v>
      </c>
      <c r="AF101" s="66">
        <v>0.26555499999999999</v>
      </c>
      <c r="AG101" s="67">
        <f t="shared" si="19"/>
        <v>354.21826703991491</v>
      </c>
      <c r="AH101" s="67">
        <f t="shared" si="13"/>
        <v>94.064431903784595</v>
      </c>
      <c r="AI101" s="66">
        <f t="shared" si="14"/>
        <v>0.73444500000000001</v>
      </c>
      <c r="AJ101" s="66">
        <f t="shared" si="15"/>
        <v>0.30864016704325847</v>
      </c>
      <c r="AL101" s="65">
        <v>98</v>
      </c>
      <c r="AM101" s="66">
        <v>0.33726499999999998</v>
      </c>
      <c r="AN101" s="67">
        <f t="shared" si="20"/>
        <v>212.73821287892883</v>
      </c>
      <c r="AO101" s="67">
        <f t="shared" si="16"/>
        <v>71.749153366611935</v>
      </c>
      <c r="AP101" s="66">
        <f t="shared" si="17"/>
        <v>0.66273500000000007</v>
      </c>
      <c r="AQ101" s="66">
        <f t="shared" si="18"/>
        <v>0.41138006703782259</v>
      </c>
    </row>
    <row r="102" spans="2:43" x14ac:dyDescent="0.3">
      <c r="B102" s="16">
        <v>99</v>
      </c>
      <c r="C102" s="14">
        <v>0.28769899999999998</v>
      </c>
      <c r="D102" s="12">
        <v>0.36663000000000001</v>
      </c>
      <c r="E102" s="3"/>
      <c r="F102" s="20">
        <v>99</v>
      </c>
      <c r="G102" s="18">
        <f t="shared" si="11"/>
        <v>-0.27435270890757368</v>
      </c>
      <c r="H102" s="18" t="str">
        <f t="shared" si="12"/>
        <v>Deteriorated</v>
      </c>
      <c r="AE102" s="65">
        <v>99</v>
      </c>
      <c r="AF102" s="66">
        <v>0.28769899999999998</v>
      </c>
      <c r="AG102" s="67">
        <f t="shared" si="19"/>
        <v>260.15383513613028</v>
      </c>
      <c r="AH102" s="67">
        <f t="shared" si="13"/>
        <v>74.845998214829535</v>
      </c>
      <c r="AI102" s="66">
        <f t="shared" si="14"/>
        <v>0.71230100000000007</v>
      </c>
      <c r="AJ102" s="66">
        <f t="shared" si="15"/>
        <v>0.33925470409596437</v>
      </c>
      <c r="AL102" s="65">
        <v>99</v>
      </c>
      <c r="AM102" s="66">
        <v>0.36663000000000001</v>
      </c>
      <c r="AN102" s="67">
        <f t="shared" si="20"/>
        <v>140.98905951231689</v>
      </c>
      <c r="AO102" s="67">
        <f t="shared" si="16"/>
        <v>51.690818889000738</v>
      </c>
      <c r="AP102" s="66">
        <f t="shared" si="17"/>
        <v>0.63336999999999999</v>
      </c>
      <c r="AQ102" s="66">
        <f t="shared" si="18"/>
        <v>0.45670050943470841</v>
      </c>
    </row>
    <row r="103" spans="2:43" x14ac:dyDescent="0.3">
      <c r="B103" s="16">
        <v>100</v>
      </c>
      <c r="C103" s="14">
        <v>0.31162800000000002</v>
      </c>
      <c r="D103" s="12">
        <v>0.397733</v>
      </c>
      <c r="E103" s="3"/>
      <c r="F103" s="20">
        <v>100</v>
      </c>
      <c r="G103" s="18">
        <f t="shared" si="11"/>
        <v>-0.27630700707253514</v>
      </c>
      <c r="H103" s="18" t="str">
        <f t="shared" si="12"/>
        <v>Deteriorated</v>
      </c>
      <c r="AE103" s="65">
        <v>100</v>
      </c>
      <c r="AF103" s="66">
        <v>0.31162800000000002</v>
      </c>
      <c r="AG103" s="67">
        <f t="shared" si="19"/>
        <v>185.30783692130075</v>
      </c>
      <c r="AH103" s="67">
        <f t="shared" si="13"/>
        <v>57.747110604111114</v>
      </c>
      <c r="AI103" s="66">
        <f t="shared" si="14"/>
        <v>0.68837199999999998</v>
      </c>
      <c r="AJ103" s="66">
        <f t="shared" si="15"/>
        <v>0.37342588949869204</v>
      </c>
      <c r="AL103" s="65">
        <v>100</v>
      </c>
      <c r="AM103" s="66">
        <v>0.397733</v>
      </c>
      <c r="AN103" s="67">
        <f t="shared" si="20"/>
        <v>89.298240623316147</v>
      </c>
      <c r="AO103" s="67">
        <f t="shared" si="16"/>
        <v>35.516857137833398</v>
      </c>
      <c r="AP103" s="66">
        <f t="shared" si="17"/>
        <v>0.602267</v>
      </c>
      <c r="AQ103" s="66">
        <f t="shared" si="18"/>
        <v>0.50705441040526189</v>
      </c>
    </row>
    <row r="104" spans="2:43" x14ac:dyDescent="0.3">
      <c r="B104" s="16">
        <v>101</v>
      </c>
      <c r="C104" s="14">
        <v>0.337482</v>
      </c>
      <c r="D104" s="12">
        <v>0.430529</v>
      </c>
      <c r="E104" s="3"/>
      <c r="F104" s="20">
        <v>101</v>
      </c>
      <c r="G104" s="18">
        <f t="shared" si="11"/>
        <v>-0.27570951932251198</v>
      </c>
      <c r="H104" s="18" t="str">
        <f t="shared" si="12"/>
        <v>Deteriorated</v>
      </c>
      <c r="AE104" s="65">
        <v>101</v>
      </c>
      <c r="AF104" s="66">
        <v>0.337482</v>
      </c>
      <c r="AG104" s="67">
        <f t="shared" si="19"/>
        <v>127.56072631718963</v>
      </c>
      <c r="AH104" s="67">
        <f t="shared" si="13"/>
        <v>43.049449038977791</v>
      </c>
      <c r="AI104" s="66">
        <f t="shared" si="14"/>
        <v>0.66251799999999994</v>
      </c>
      <c r="AJ104" s="66">
        <f t="shared" si="15"/>
        <v>0.41170755167953177</v>
      </c>
      <c r="AL104" s="65">
        <v>101</v>
      </c>
      <c r="AM104" s="66">
        <v>0.430529</v>
      </c>
      <c r="AN104" s="67">
        <f t="shared" si="20"/>
        <v>53.781383485482749</v>
      </c>
      <c r="AO104" s="67">
        <f t="shared" si="16"/>
        <v>23.154445250621404</v>
      </c>
      <c r="AP104" s="66">
        <f t="shared" si="17"/>
        <v>0.56947100000000006</v>
      </c>
      <c r="AQ104" s="66">
        <f t="shared" si="18"/>
        <v>0.56304741925274393</v>
      </c>
    </row>
    <row r="105" spans="2:43" x14ac:dyDescent="0.3">
      <c r="B105" s="16">
        <v>102</v>
      </c>
      <c r="C105" s="14">
        <v>0.36541099999999999</v>
      </c>
      <c r="D105" s="12">
        <v>0.46494999999999997</v>
      </c>
      <c r="E105" s="3"/>
      <c r="F105" s="20">
        <v>102</v>
      </c>
      <c r="G105" s="18">
        <f t="shared" si="11"/>
        <v>-0.27240285596219049</v>
      </c>
      <c r="H105" s="18" t="str">
        <f t="shared" si="12"/>
        <v>Deteriorated</v>
      </c>
      <c r="AE105" s="65">
        <v>102</v>
      </c>
      <c r="AF105" s="66">
        <v>0.36541099999999999</v>
      </c>
      <c r="AG105" s="67">
        <f t="shared" si="19"/>
        <v>84.51127727821185</v>
      </c>
      <c r="AH105" s="67">
        <f t="shared" si="13"/>
        <v>30.881350341508668</v>
      </c>
      <c r="AI105" s="66">
        <f t="shared" si="14"/>
        <v>0.63458900000000007</v>
      </c>
      <c r="AJ105" s="66">
        <f t="shared" si="15"/>
        <v>0.45477773373681851</v>
      </c>
      <c r="AL105" s="65">
        <v>102</v>
      </c>
      <c r="AM105" s="66">
        <v>0.46494999999999997</v>
      </c>
      <c r="AN105" s="67">
        <f t="shared" si="20"/>
        <v>30.626938234861345</v>
      </c>
      <c r="AO105" s="67">
        <f t="shared" si="16"/>
        <v>14.239994932298782</v>
      </c>
      <c r="AP105" s="66">
        <f t="shared" si="17"/>
        <v>0.53505000000000003</v>
      </c>
      <c r="AQ105" s="66">
        <f t="shared" si="18"/>
        <v>0.62539507850912679</v>
      </c>
    </row>
    <row r="106" spans="2:43" x14ac:dyDescent="0.3">
      <c r="B106" s="16">
        <v>103</v>
      </c>
      <c r="C106" s="14">
        <v>0.39557700000000001</v>
      </c>
      <c r="D106" s="12">
        <v>0.50090400000000002</v>
      </c>
      <c r="E106" s="3"/>
      <c r="F106" s="20">
        <v>103</v>
      </c>
      <c r="G106" s="18">
        <f t="shared" si="11"/>
        <v>-0.26626168862193705</v>
      </c>
      <c r="H106" s="18" t="str">
        <f t="shared" si="12"/>
        <v>Deteriorated</v>
      </c>
      <c r="AE106" s="65">
        <v>103</v>
      </c>
      <c r="AF106" s="66">
        <v>0.39557700000000001</v>
      </c>
      <c r="AG106" s="67">
        <f t="shared" si="19"/>
        <v>53.629926936703185</v>
      </c>
      <c r="AH106" s="67">
        <f t="shared" si="13"/>
        <v>21.214765607840235</v>
      </c>
      <c r="AI106" s="66">
        <f t="shared" si="14"/>
        <v>0.60442299999999993</v>
      </c>
      <c r="AJ106" s="66">
        <f t="shared" si="15"/>
        <v>0.50348099503890176</v>
      </c>
      <c r="AL106" s="65">
        <v>103</v>
      </c>
      <c r="AM106" s="66">
        <v>0.50090400000000002</v>
      </c>
      <c r="AN106" s="67">
        <f t="shared" si="20"/>
        <v>16.386943302562564</v>
      </c>
      <c r="AO106" s="67">
        <f t="shared" si="16"/>
        <v>8.2082854480267979</v>
      </c>
      <c r="AP106" s="66">
        <f t="shared" si="17"/>
        <v>0.49909599999999998</v>
      </c>
      <c r="AQ106" s="66">
        <f t="shared" si="18"/>
        <v>0.69495681696465594</v>
      </c>
    </row>
    <row r="107" spans="2:43" x14ac:dyDescent="0.3">
      <c r="B107" s="16">
        <v>104</v>
      </c>
      <c r="C107" s="14">
        <v>0.42815300000000001</v>
      </c>
      <c r="D107" s="12">
        <v>0.53827800000000003</v>
      </c>
      <c r="E107" s="3"/>
      <c r="F107" s="20">
        <v>104</v>
      </c>
      <c r="G107" s="18">
        <f t="shared" si="11"/>
        <v>-0.25720945549838498</v>
      </c>
      <c r="H107" s="18" t="str">
        <f t="shared" si="12"/>
        <v>Deteriorated</v>
      </c>
      <c r="AE107" s="65">
        <v>104</v>
      </c>
      <c r="AF107" s="66">
        <v>0.42815300000000001</v>
      </c>
      <c r="AG107" s="67">
        <f t="shared" si="19"/>
        <v>32.415161328862951</v>
      </c>
      <c r="AH107" s="67">
        <f t="shared" si="13"/>
        <v>13.87864856843666</v>
      </c>
      <c r="AI107" s="66">
        <f t="shared" si="14"/>
        <v>0.57184699999999999</v>
      </c>
      <c r="AJ107" s="66">
        <f t="shared" si="15"/>
        <v>0.5588838058996507</v>
      </c>
      <c r="AL107" s="65">
        <v>104</v>
      </c>
      <c r="AM107" s="66">
        <v>0.53827800000000003</v>
      </c>
      <c r="AN107" s="67">
        <f t="shared" si="20"/>
        <v>8.178657854535766</v>
      </c>
      <c r="AO107" s="67">
        <f t="shared" si="16"/>
        <v>4.4023915926238031</v>
      </c>
      <c r="AP107" s="66">
        <f t="shared" si="17"/>
        <v>0.46172199999999997</v>
      </c>
      <c r="AQ107" s="66">
        <f t="shared" si="18"/>
        <v>0.77279230061524806</v>
      </c>
    </row>
    <row r="108" spans="2:43" x14ac:dyDescent="0.3">
      <c r="B108" s="16">
        <v>105</v>
      </c>
      <c r="C108" s="14">
        <v>0.46332699999999999</v>
      </c>
      <c r="D108" s="12">
        <v>0.57694199999999995</v>
      </c>
      <c r="E108" s="3"/>
      <c r="F108" s="20">
        <v>105</v>
      </c>
      <c r="G108" s="18">
        <f t="shared" si="11"/>
        <v>-0.24521558208349603</v>
      </c>
      <c r="H108" s="18" t="str">
        <f t="shared" si="12"/>
        <v>Deteriorated</v>
      </c>
      <c r="AE108" s="65">
        <v>105</v>
      </c>
      <c r="AF108" s="66">
        <v>0.46332699999999999</v>
      </c>
      <c r="AG108" s="67">
        <f t="shared" si="19"/>
        <v>18.536512760426291</v>
      </c>
      <c r="AH108" s="67">
        <f t="shared" si="13"/>
        <v>8.5884668477500323</v>
      </c>
      <c r="AI108" s="66">
        <f t="shared" si="14"/>
        <v>0.53667299999999996</v>
      </c>
      <c r="AJ108" s="66">
        <f t="shared" si="15"/>
        <v>0.62236630849913621</v>
      </c>
      <c r="AL108" s="65">
        <v>105</v>
      </c>
      <c r="AM108" s="66">
        <v>0.57694199999999995</v>
      </c>
      <c r="AN108" s="67">
        <f t="shared" si="20"/>
        <v>3.7762662619119629</v>
      </c>
      <c r="AO108" s="67">
        <f t="shared" si="16"/>
        <v>2.1786866096800117</v>
      </c>
      <c r="AP108" s="66">
        <f t="shared" si="17"/>
        <v>0.42305800000000005</v>
      </c>
      <c r="AQ108" s="66">
        <f t="shared" si="18"/>
        <v>0.86024599349613295</v>
      </c>
    </row>
    <row r="109" spans="2:43" x14ac:dyDescent="0.3">
      <c r="B109" s="16">
        <v>106</v>
      </c>
      <c r="C109" s="14">
        <v>0.50129800000000002</v>
      </c>
      <c r="D109" s="12">
        <v>0.61675199999999997</v>
      </c>
      <c r="E109" s="3"/>
      <c r="F109" s="20">
        <v>106</v>
      </c>
      <c r="G109" s="18">
        <f t="shared" si="11"/>
        <v>-0.23031011494161147</v>
      </c>
      <c r="H109" s="18" t="str">
        <f t="shared" si="12"/>
        <v>Deteriorated</v>
      </c>
      <c r="AE109" s="65">
        <v>106</v>
      </c>
      <c r="AF109" s="66">
        <v>0.50129800000000002</v>
      </c>
      <c r="AG109" s="67">
        <f t="shared" si="19"/>
        <v>9.9480459126762586</v>
      </c>
      <c r="AH109" s="67">
        <f t="shared" si="13"/>
        <v>4.9869355199327829</v>
      </c>
      <c r="AI109" s="66">
        <f t="shared" si="14"/>
        <v>0.49870199999999998</v>
      </c>
      <c r="AJ109" s="66">
        <f t="shared" si="15"/>
        <v>0.69574655601099145</v>
      </c>
      <c r="AL109" s="65">
        <v>106</v>
      </c>
      <c r="AM109" s="66">
        <v>0.61675199999999997</v>
      </c>
      <c r="AN109" s="67">
        <f t="shared" si="20"/>
        <v>1.5975796522319512</v>
      </c>
      <c r="AO109" s="67">
        <f t="shared" si="16"/>
        <v>0.98531044567336035</v>
      </c>
      <c r="AP109" s="66">
        <f t="shared" si="17"/>
        <v>0.38324800000000003</v>
      </c>
      <c r="AQ109" s="66">
        <f t="shared" si="18"/>
        <v>0.95907297976959649</v>
      </c>
    </row>
    <row r="110" spans="2:43" x14ac:dyDescent="0.3">
      <c r="B110" s="16">
        <v>107</v>
      </c>
      <c r="C110" s="14">
        <v>0.54228399999999999</v>
      </c>
      <c r="D110" s="12">
        <v>0.65755300000000005</v>
      </c>
      <c r="E110" s="3"/>
      <c r="F110" s="20">
        <v>107</v>
      </c>
      <c r="G110" s="18">
        <f t="shared" si="11"/>
        <v>-0.21256205235633002</v>
      </c>
      <c r="H110" s="18" t="str">
        <f t="shared" si="12"/>
        <v>Deteriorated</v>
      </c>
      <c r="AE110" s="65">
        <v>107</v>
      </c>
      <c r="AF110" s="66">
        <v>0.54228399999999999</v>
      </c>
      <c r="AG110" s="67">
        <f t="shared" si="19"/>
        <v>4.9611103927434756</v>
      </c>
      <c r="AH110" s="67">
        <f t="shared" si="13"/>
        <v>2.6903307882185028</v>
      </c>
      <c r="AI110" s="66">
        <f t="shared" si="14"/>
        <v>0.45771600000000001</v>
      </c>
      <c r="AJ110" s="66">
        <f t="shared" si="15"/>
        <v>0.78150637453786209</v>
      </c>
      <c r="AL110" s="65">
        <v>107</v>
      </c>
      <c r="AM110" s="66">
        <v>0.65755300000000005</v>
      </c>
      <c r="AN110" s="67">
        <f t="shared" si="20"/>
        <v>0.61226920655859085</v>
      </c>
      <c r="AO110" s="67">
        <f t="shared" si="16"/>
        <v>0.40259945358022114</v>
      </c>
      <c r="AP110" s="66">
        <f t="shared" si="17"/>
        <v>0.34244699999999995</v>
      </c>
      <c r="AQ110" s="66">
        <f t="shared" si="18"/>
        <v>1.0716383777795742</v>
      </c>
    </row>
    <row r="111" spans="2:43" x14ac:dyDescent="0.3">
      <c r="B111" s="16">
        <v>108</v>
      </c>
      <c r="C111" s="14">
        <v>0.58651600000000004</v>
      </c>
      <c r="D111" s="12">
        <v>0.69919100000000001</v>
      </c>
      <c r="E111" s="3"/>
      <c r="F111" s="20">
        <v>108</v>
      </c>
      <c r="G111" s="18">
        <f t="shared" si="11"/>
        <v>-0.19210899617401736</v>
      </c>
      <c r="H111" s="18" t="str">
        <f t="shared" si="12"/>
        <v>Deteriorated</v>
      </c>
      <c r="I111" s="4"/>
      <c r="AE111" s="65">
        <v>108</v>
      </c>
      <c r="AF111" s="66">
        <v>0.58651600000000004</v>
      </c>
      <c r="AG111" s="67">
        <f t="shared" si="19"/>
        <v>2.2707796045249729</v>
      </c>
      <c r="AH111" s="67">
        <f t="shared" si="13"/>
        <v>1.3318485705275691</v>
      </c>
      <c r="AI111" s="66">
        <f t="shared" si="14"/>
        <v>0.41348399999999996</v>
      </c>
      <c r="AJ111" s="66">
        <f t="shared" si="15"/>
        <v>0.88313645934199592</v>
      </c>
      <c r="AL111" s="65">
        <v>108</v>
      </c>
      <c r="AM111" s="66">
        <v>0.69919100000000001</v>
      </c>
      <c r="AN111" s="67">
        <f t="shared" si="20"/>
        <v>0.20966975297836971</v>
      </c>
      <c r="AO111" s="67">
        <f t="shared" si="16"/>
        <v>0.1465992042546993</v>
      </c>
      <c r="AP111" s="66">
        <f t="shared" si="17"/>
        <v>0.30080899999999999</v>
      </c>
      <c r="AQ111" s="66">
        <f t="shared" si="18"/>
        <v>1.2012797671412869</v>
      </c>
    </row>
    <row r="112" spans="2:43" x14ac:dyDescent="0.3">
      <c r="B112" s="16">
        <v>109</v>
      </c>
      <c r="C112" s="14">
        <v>0.63424400000000003</v>
      </c>
      <c r="D112" s="12">
        <v>0.74151500000000004</v>
      </c>
      <c r="E112" s="3"/>
      <c r="F112" s="20">
        <v>109</v>
      </c>
      <c r="G112" s="18">
        <f t="shared" si="11"/>
        <v>-0.1691320690459823</v>
      </c>
      <c r="H112" s="18" t="str">
        <f t="shared" si="12"/>
        <v>Deteriorated</v>
      </c>
      <c r="AE112" s="65">
        <v>109</v>
      </c>
      <c r="AF112" s="66">
        <v>0.63424400000000003</v>
      </c>
      <c r="AG112" s="67">
        <f t="shared" si="19"/>
        <v>0.93893103399740374</v>
      </c>
      <c r="AH112" s="67">
        <f t="shared" si="13"/>
        <v>0.59551137472664939</v>
      </c>
      <c r="AI112" s="66">
        <f t="shared" si="14"/>
        <v>0.36575599999999997</v>
      </c>
      <c r="AJ112" s="66">
        <f t="shared" si="15"/>
        <v>1.0057888345684747</v>
      </c>
      <c r="AL112" s="65">
        <v>109</v>
      </c>
      <c r="AM112" s="66">
        <v>0.74151500000000004</v>
      </c>
      <c r="AN112" s="67">
        <f t="shared" si="20"/>
        <v>6.3070548723670405E-2</v>
      </c>
      <c r="AO112" s="67">
        <f t="shared" si="16"/>
        <v>4.6767757936832466E-2</v>
      </c>
      <c r="AP112" s="66">
        <f t="shared" si="17"/>
        <v>0.25848499999999996</v>
      </c>
      <c r="AQ112" s="66">
        <f t="shared" si="18"/>
        <v>1.352917613796593</v>
      </c>
    </row>
    <row r="113" spans="2:43" x14ac:dyDescent="0.3">
      <c r="B113" s="16">
        <v>110</v>
      </c>
      <c r="C113" s="14">
        <v>0.68573700000000004</v>
      </c>
      <c r="D113" s="12">
        <v>0.78438300000000005</v>
      </c>
      <c r="E113" s="3"/>
      <c r="F113" s="20">
        <v>110</v>
      </c>
      <c r="G113" s="18">
        <f t="shared" si="11"/>
        <v>-0.1438539848367523</v>
      </c>
      <c r="H113" s="18" t="str">
        <f t="shared" si="12"/>
        <v>Deteriorated</v>
      </c>
      <c r="AE113" s="65">
        <v>110</v>
      </c>
      <c r="AF113" s="66">
        <v>0.68573700000000004</v>
      </c>
      <c r="AG113" s="67">
        <f t="shared" si="19"/>
        <v>0.34341965927075435</v>
      </c>
      <c r="AH113" s="67">
        <f t="shared" si="13"/>
        <v>0.23549556688934928</v>
      </c>
      <c r="AI113" s="66">
        <f t="shared" si="14"/>
        <v>0.31426299999999996</v>
      </c>
      <c r="AJ113" s="66">
        <f t="shared" si="15"/>
        <v>1.1575250640301153</v>
      </c>
      <c r="AL113" s="65">
        <v>110</v>
      </c>
      <c r="AM113" s="66">
        <v>0.78438300000000005</v>
      </c>
      <c r="AN113" s="67">
        <f t="shared" si="20"/>
        <v>1.630279078683794E-2</v>
      </c>
      <c r="AO113" s="67">
        <f t="shared" si="16"/>
        <v>1.2787631945752304E-2</v>
      </c>
      <c r="AP113" s="66">
        <f t="shared" si="17"/>
        <v>0.21561699999999995</v>
      </c>
      <c r="AQ113" s="66">
        <f t="shared" si="18"/>
        <v>1.5342515933340644</v>
      </c>
    </row>
    <row r="114" spans="2:43" x14ac:dyDescent="0.3">
      <c r="B114" s="16">
        <v>111</v>
      </c>
      <c r="C114" s="14">
        <v>0.74128300000000003</v>
      </c>
      <c r="D114" s="12">
        <v>0.82767299999999999</v>
      </c>
      <c r="E114" s="3"/>
      <c r="F114" s="20">
        <v>111</v>
      </c>
      <c r="G114" s="18">
        <f t="shared" si="11"/>
        <v>-0.11654118602477052</v>
      </c>
      <c r="H114" s="18" t="str">
        <f t="shared" si="12"/>
        <v>Deteriorated</v>
      </c>
      <c r="AE114" s="65">
        <v>111</v>
      </c>
      <c r="AF114" s="66">
        <v>0.74128300000000003</v>
      </c>
      <c r="AG114" s="67">
        <f t="shared" si="19"/>
        <v>0.10792409238140507</v>
      </c>
      <c r="AH114" s="67">
        <f t="shared" si="13"/>
        <v>8.0002294972765106E-2</v>
      </c>
      <c r="AI114" s="66">
        <f t="shared" si="14"/>
        <v>0.25871699999999997</v>
      </c>
      <c r="AJ114" s="66">
        <f t="shared" si="15"/>
        <v>1.3520204787678791</v>
      </c>
      <c r="AL114" s="65">
        <v>111</v>
      </c>
      <c r="AM114" s="66">
        <v>0.82767299999999999</v>
      </c>
      <c r="AN114" s="67">
        <f t="shared" si="20"/>
        <v>3.515158841085636E-3</v>
      </c>
      <c r="AO114" s="67">
        <f t="shared" si="16"/>
        <v>2.9094020634778716E-3</v>
      </c>
      <c r="AP114" s="66">
        <f t="shared" si="17"/>
        <v>0.17232700000000001</v>
      </c>
      <c r="AQ114" s="66">
        <f t="shared" si="18"/>
        <v>1.7583614443006921</v>
      </c>
    </row>
    <row r="115" spans="2:43" x14ac:dyDescent="0.3">
      <c r="B115" s="16">
        <v>112</v>
      </c>
      <c r="C115" s="14">
        <v>0.80119099999999999</v>
      </c>
      <c r="D115" s="12">
        <v>0.87128499999999998</v>
      </c>
      <c r="E115" s="3"/>
      <c r="F115" s="20">
        <v>112</v>
      </c>
      <c r="G115" s="18">
        <f t="shared" si="11"/>
        <v>-8.7487253351572841E-2</v>
      </c>
      <c r="H115" s="18" t="str">
        <f t="shared" si="12"/>
        <v>Deteriorated</v>
      </c>
      <c r="J115" s="4"/>
      <c r="AE115" s="65">
        <v>112</v>
      </c>
      <c r="AF115" s="66">
        <v>0.80119099999999999</v>
      </c>
      <c r="AG115" s="67">
        <f t="shared" si="19"/>
        <v>2.7921797408639967E-2</v>
      </c>
      <c r="AH115" s="67">
        <f t="shared" si="13"/>
        <v>2.2370692787625664E-2</v>
      </c>
      <c r="AI115" s="66">
        <f t="shared" si="14"/>
        <v>0.19880900000000001</v>
      </c>
      <c r="AJ115" s="66">
        <f t="shared" si="15"/>
        <v>1.6154107141546139</v>
      </c>
      <c r="AL115" s="65">
        <v>112</v>
      </c>
      <c r="AM115" s="66">
        <v>0.87128499999999998</v>
      </c>
      <c r="AN115" s="67">
        <f t="shared" si="20"/>
        <v>6.0575677760776447E-4</v>
      </c>
      <c r="AO115" s="67">
        <f t="shared" si="16"/>
        <v>5.2778679397798105E-4</v>
      </c>
      <c r="AP115" s="66">
        <f t="shared" si="17"/>
        <v>0.12871500000000002</v>
      </c>
      <c r="AQ115" s="66">
        <f t="shared" si="18"/>
        <v>2.0501546210549431</v>
      </c>
    </row>
    <row r="116" spans="2:43" x14ac:dyDescent="0.3">
      <c r="B116" s="16">
        <v>113</v>
      </c>
      <c r="C116" s="14">
        <v>0.86579499999999998</v>
      </c>
      <c r="D116" s="12">
        <v>0.91514499999999999</v>
      </c>
      <c r="E116" s="3"/>
      <c r="F116" s="20">
        <v>113</v>
      </c>
      <c r="G116" s="18">
        <f t="shared" si="11"/>
        <v>-5.6999636172535076E-2</v>
      </c>
      <c r="H116" s="18" t="str">
        <f t="shared" si="12"/>
        <v>Deteriorated</v>
      </c>
      <c r="AE116" s="65">
        <v>113</v>
      </c>
      <c r="AF116" s="66">
        <v>0.86579499999999998</v>
      </c>
      <c r="AG116" s="67">
        <f t="shared" si="19"/>
        <v>5.5511046210143036E-3</v>
      </c>
      <c r="AH116" s="67">
        <f t="shared" si="13"/>
        <v>4.8061186253510789E-3</v>
      </c>
      <c r="AI116" s="66">
        <f t="shared" si="14"/>
        <v>0.13420500000000002</v>
      </c>
      <c r="AJ116" s="66">
        <f t="shared" si="15"/>
        <v>2.008386797314468</v>
      </c>
      <c r="AL116" s="65">
        <v>113</v>
      </c>
      <c r="AM116" s="66">
        <v>0.91514499999999999</v>
      </c>
      <c r="AN116" s="67">
        <f t="shared" si="20"/>
        <v>7.7969983629783417E-5</v>
      </c>
      <c r="AO116" s="67">
        <f t="shared" si="16"/>
        <v>7.1353840668878144E-5</v>
      </c>
      <c r="AP116" s="66">
        <f t="shared" si="17"/>
        <v>8.4855000000000014E-2</v>
      </c>
      <c r="AQ116" s="66">
        <f t="shared" si="18"/>
        <v>2.466811361518908</v>
      </c>
    </row>
    <row r="117" spans="2:43" x14ac:dyDescent="0.3">
      <c r="B117" s="16">
        <v>114</v>
      </c>
      <c r="C117" s="14">
        <v>0.93545299999999998</v>
      </c>
      <c r="D117" s="12">
        <v>0.95921400000000001</v>
      </c>
      <c r="E117" s="3"/>
      <c r="F117" s="20">
        <v>114</v>
      </c>
      <c r="G117" s="18">
        <f t="shared" si="11"/>
        <v>-2.5400527872592244E-2</v>
      </c>
      <c r="H117" s="18" t="str">
        <f t="shared" si="12"/>
        <v>Deteriorated</v>
      </c>
      <c r="AE117" s="65">
        <v>114</v>
      </c>
      <c r="AF117" s="66">
        <v>0.93545299999999998</v>
      </c>
      <c r="AG117" s="67">
        <f t="shared" si="19"/>
        <v>7.449859956632247E-4</v>
      </c>
      <c r="AH117" s="67">
        <f t="shared" si="13"/>
        <v>6.9689938460115047E-4</v>
      </c>
      <c r="AI117" s="66">
        <f t="shared" si="14"/>
        <v>6.4547000000000021E-2</v>
      </c>
      <c r="AJ117" s="66">
        <f t="shared" si="15"/>
        <v>2.7403616383698193</v>
      </c>
      <c r="AL117" s="65">
        <v>114</v>
      </c>
      <c r="AM117" s="66">
        <v>0.95921400000000001</v>
      </c>
      <c r="AN117" s="67">
        <f t="shared" si="20"/>
        <v>6.6161429609052724E-6</v>
      </c>
      <c r="AO117" s="67">
        <f t="shared" si="16"/>
        <v>6.3462969541017899E-6</v>
      </c>
      <c r="AP117" s="66">
        <f t="shared" si="17"/>
        <v>4.0785999999999989E-2</v>
      </c>
      <c r="AQ117" s="66">
        <f t="shared" si="18"/>
        <v>3.1994163937119819</v>
      </c>
    </row>
    <row r="118" spans="2:43" ht="15" thickBot="1" x14ac:dyDescent="0.35">
      <c r="B118" s="17">
        <v>115</v>
      </c>
      <c r="C118" s="15">
        <v>0.98579600000000001</v>
      </c>
      <c r="D118" s="13">
        <v>1</v>
      </c>
      <c r="E118" s="3"/>
      <c r="F118" s="21">
        <v>115</v>
      </c>
      <c r="G118" s="19">
        <f t="shared" si="11"/>
        <v>-1.4408660615380865E-2</v>
      </c>
      <c r="H118" s="19" t="str">
        <f t="shared" si="12"/>
        <v>Deteriorated</v>
      </c>
      <c r="AE118" s="65">
        <v>115</v>
      </c>
      <c r="AF118" s="66">
        <v>0.98579600000000001</v>
      </c>
      <c r="AG118" s="67">
        <f t="shared" si="19"/>
        <v>4.8086611062074232E-5</v>
      </c>
      <c r="AH118" s="67">
        <f t="shared" si="13"/>
        <v>4.7403588838548532E-5</v>
      </c>
      <c r="AI118" s="66">
        <f>1-AF118</f>
        <v>1.4203999999999994E-2</v>
      </c>
      <c r="AJ118" s="66">
        <f>-LN(AI118)</f>
        <v>4.2542316639012956</v>
      </c>
      <c r="AL118" s="65">
        <v>115</v>
      </c>
      <c r="AM118" s="66">
        <v>1</v>
      </c>
      <c r="AN118" s="67">
        <f t="shared" si="20"/>
        <v>2.698460068034825E-7</v>
      </c>
      <c r="AO118" s="67">
        <f t="shared" si="16"/>
        <v>2.698460068034825E-7</v>
      </c>
      <c r="AP118" s="66">
        <f t="shared" si="17"/>
        <v>0</v>
      </c>
      <c r="AQ118" s="66" t="str">
        <f t="shared" si="18"/>
        <v>N/A</v>
      </c>
    </row>
  </sheetData>
  <mergeCells count="8">
    <mergeCell ref="R29:W29"/>
    <mergeCell ref="J6:P21"/>
    <mergeCell ref="J23:P38"/>
    <mergeCell ref="AE2:AJ3"/>
    <mergeCell ref="AL2:AQ3"/>
    <mergeCell ref="R23:S23"/>
    <mergeCell ref="R24:S24"/>
    <mergeCell ref="R26:W27"/>
  </mergeCells>
  <pageMargins left="0.75" right="0.75" top="1" bottom="1" header="0.5" footer="0.5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6"/>
  <sheetViews>
    <sheetView showGridLines="0" zoomScale="80" zoomScaleNormal="80" workbookViewId="0">
      <selection activeCell="T155" sqref="T155"/>
    </sheetView>
  </sheetViews>
  <sheetFormatPr defaultRowHeight="14.4" x14ac:dyDescent="0.3"/>
  <cols>
    <col min="2" max="2" width="20.44140625" bestFit="1" customWidth="1"/>
    <col min="3" max="3" width="14.44140625" bestFit="1" customWidth="1"/>
    <col min="4" max="4" width="9.77734375" bestFit="1" customWidth="1"/>
    <col min="9" max="9" width="18.77734375" bestFit="1" customWidth="1"/>
    <col min="10" max="10" width="14.6640625" bestFit="1" customWidth="1"/>
    <col min="11" max="11" width="13.33203125" bestFit="1" customWidth="1"/>
    <col min="14" max="14" width="4.44140625" customWidth="1"/>
    <col min="15" max="15" width="9.88671875" customWidth="1"/>
    <col min="16" max="16" width="16" bestFit="1" customWidth="1"/>
    <col min="17" max="17" width="16.88671875" bestFit="1" customWidth="1"/>
    <col min="19" max="19" width="19.5546875" bestFit="1" customWidth="1"/>
  </cols>
  <sheetData>
    <row r="1" spans="1:19" ht="15" thickBot="1" x14ac:dyDescent="0.35"/>
    <row r="2" spans="1:19" ht="15" thickBot="1" x14ac:dyDescent="0.35">
      <c r="B2" s="93" t="s">
        <v>30</v>
      </c>
      <c r="C2" s="94" t="s">
        <v>31</v>
      </c>
      <c r="D2" s="94" t="s">
        <v>33</v>
      </c>
      <c r="E2" s="94" t="s">
        <v>32</v>
      </c>
      <c r="F2" s="94" t="s">
        <v>0</v>
      </c>
      <c r="G2" s="95" t="s">
        <v>44</v>
      </c>
      <c r="I2" s="222" t="s">
        <v>42</v>
      </c>
      <c r="J2" s="222"/>
      <c r="K2" s="222"/>
      <c r="L2" s="222"/>
    </row>
    <row r="3" spans="1:19" x14ac:dyDescent="0.3">
      <c r="B3" s="169" t="s">
        <v>34</v>
      </c>
      <c r="C3" s="170" t="s">
        <v>37</v>
      </c>
      <c r="D3" s="170" t="s">
        <v>38</v>
      </c>
      <c r="E3" s="170">
        <v>10</v>
      </c>
      <c r="F3" s="170">
        <v>25</v>
      </c>
      <c r="G3" s="171" t="s">
        <v>45</v>
      </c>
      <c r="I3" s="223"/>
      <c r="J3" s="223"/>
      <c r="K3" s="223"/>
      <c r="L3" s="223"/>
    </row>
    <row r="4" spans="1:19" x14ac:dyDescent="0.3">
      <c r="B4" s="121" t="s">
        <v>35</v>
      </c>
      <c r="C4" s="108" t="s">
        <v>37</v>
      </c>
      <c r="D4" s="108" t="s">
        <v>38</v>
      </c>
      <c r="E4" s="108">
        <v>10</v>
      </c>
      <c r="F4" s="108">
        <v>30</v>
      </c>
      <c r="G4" s="174" t="s">
        <v>45</v>
      </c>
    </row>
    <row r="5" spans="1:19" x14ac:dyDescent="0.3">
      <c r="B5" s="172" t="s">
        <v>36</v>
      </c>
      <c r="C5" s="116" t="s">
        <v>37</v>
      </c>
      <c r="D5" s="116" t="s">
        <v>38</v>
      </c>
      <c r="E5" s="116">
        <v>10</v>
      </c>
      <c r="F5" s="116">
        <v>35</v>
      </c>
      <c r="G5" s="173" t="s">
        <v>45</v>
      </c>
    </row>
    <row r="6" spans="1:19" x14ac:dyDescent="0.3">
      <c r="B6" s="176" t="s">
        <v>55</v>
      </c>
      <c r="C6" s="177" t="s">
        <v>37</v>
      </c>
      <c r="D6" s="177" t="s">
        <v>38</v>
      </c>
      <c r="E6" s="177">
        <v>10</v>
      </c>
      <c r="F6" s="177">
        <v>40</v>
      </c>
      <c r="G6" s="178" t="s">
        <v>45</v>
      </c>
    </row>
    <row r="7" spans="1:19" ht="15" thickBot="1" x14ac:dyDescent="0.35">
      <c r="B7" s="179" t="s">
        <v>56</v>
      </c>
      <c r="C7" s="180" t="s">
        <v>37</v>
      </c>
      <c r="D7" s="180" t="s">
        <v>38</v>
      </c>
      <c r="E7" s="180">
        <v>10</v>
      </c>
      <c r="F7" s="180">
        <v>45</v>
      </c>
      <c r="G7" s="181" t="s">
        <v>45</v>
      </c>
    </row>
    <row r="8" spans="1:19" ht="15" thickBot="1" x14ac:dyDescent="0.35">
      <c r="B8" s="31"/>
      <c r="C8" s="31"/>
    </row>
    <row r="9" spans="1:19" ht="15" thickTop="1" x14ac:dyDescent="0.3">
      <c r="A9" s="33"/>
      <c r="B9" s="102" t="s">
        <v>59</v>
      </c>
      <c r="C9" s="96">
        <v>5000000</v>
      </c>
      <c r="D9" s="34"/>
      <c r="I9" s="226" t="s">
        <v>39</v>
      </c>
      <c r="J9" s="226"/>
    </row>
    <row r="10" spans="1:19" x14ac:dyDescent="0.3">
      <c r="A10" s="33"/>
      <c r="B10" s="102"/>
      <c r="C10" s="97"/>
      <c r="D10" s="34"/>
      <c r="I10" s="227"/>
      <c r="J10" s="227"/>
    </row>
    <row r="11" spans="1:19" x14ac:dyDescent="0.3">
      <c r="A11" s="33"/>
      <c r="B11" s="102" t="s">
        <v>60</v>
      </c>
      <c r="C11" s="98">
        <v>6.5000000000000002E-2</v>
      </c>
      <c r="D11" s="34"/>
    </row>
    <row r="12" spans="1:19" x14ac:dyDescent="0.3">
      <c r="A12" s="33"/>
      <c r="B12" s="102" t="s">
        <v>61</v>
      </c>
      <c r="C12" s="99">
        <f>(1+i)^-1</f>
        <v>0.93896713615023475</v>
      </c>
      <c r="D12" s="34"/>
      <c r="H12" s="230" t="s">
        <v>43</v>
      </c>
      <c r="I12" s="230"/>
      <c r="J12" s="230"/>
      <c r="K12" s="230"/>
      <c r="L12" s="230"/>
      <c r="M12" s="230"/>
    </row>
    <row r="13" spans="1:19" ht="15" thickBot="1" x14ac:dyDescent="0.35">
      <c r="A13" s="33"/>
      <c r="B13" s="102"/>
      <c r="C13" s="97"/>
      <c r="D13" s="69"/>
      <c r="E13" s="31"/>
      <c r="F13" s="31"/>
      <c r="H13" s="120" t="s">
        <v>40</v>
      </c>
      <c r="I13" s="120" t="s">
        <v>41</v>
      </c>
      <c r="J13" s="182"/>
      <c r="K13" s="182"/>
      <c r="L13" s="182"/>
      <c r="M13" s="182"/>
      <c r="O13" s="120" t="s">
        <v>40</v>
      </c>
      <c r="P13" s="120" t="s">
        <v>46</v>
      </c>
      <c r="Q13" s="120" t="s">
        <v>48</v>
      </c>
      <c r="R13" s="120" t="s">
        <v>47</v>
      </c>
      <c r="S13" s="120" t="s">
        <v>49</v>
      </c>
    </row>
    <row r="14" spans="1:19" ht="15" thickTop="1" x14ac:dyDescent="0.3">
      <c r="A14" s="33"/>
      <c r="B14" s="102" t="s">
        <v>62</v>
      </c>
      <c r="C14" s="100">
        <v>2000</v>
      </c>
      <c r="D14" s="231" t="s">
        <v>51</v>
      </c>
      <c r="E14" s="231"/>
      <c r="F14" s="231"/>
      <c r="G14" s="35"/>
      <c r="H14" s="120">
        <v>0</v>
      </c>
      <c r="I14" s="120">
        <f>F3</f>
        <v>25</v>
      </c>
      <c r="J14" s="120">
        <f>VLOOKUP($I14,'IALM Comparison'!$AE$4:$AJ$118,2,FALSE)</f>
        <v>9.8400000000000007E-4</v>
      </c>
      <c r="K14" s="183">
        <f>VLOOKUP($I14,'IALM Comparison'!$AE$4:$AJ$118,3,FALSE)</f>
        <v>9786.1973451381182</v>
      </c>
      <c r="L14" s="183">
        <f>VLOOKUP($I14,'IALM Comparison'!$AE$4:$AJ$118,4,FALSE)</f>
        <v>9.6296181876159093</v>
      </c>
      <c r="M14" s="184">
        <f>VLOOKUP($I14,'IALM Comparison'!$AE$4:$AJ$118,5,FALSE)</f>
        <v>0.99901600000000002</v>
      </c>
      <c r="O14" s="120">
        <v>0</v>
      </c>
      <c r="P14" s="185">
        <f t="shared" ref="P14:P23" si="0">v^O14</f>
        <v>1</v>
      </c>
      <c r="Q14" s="185">
        <v>1</v>
      </c>
      <c r="R14" s="185">
        <f>Q14*P14</f>
        <v>1</v>
      </c>
      <c r="S14" s="185">
        <f t="shared" ref="S14:S22" si="1">(S15*v)*(M14)+(v^0.5)*(L14/K14)</f>
        <v>7.7927800037131956E-3</v>
      </c>
    </row>
    <row r="15" spans="1:19" x14ac:dyDescent="0.3">
      <c r="A15" s="33"/>
      <c r="B15" s="102"/>
      <c r="C15" s="97"/>
      <c r="D15" s="231"/>
      <c r="E15" s="231"/>
      <c r="F15" s="231"/>
      <c r="G15" s="35"/>
      <c r="H15" s="120">
        <v>1</v>
      </c>
      <c r="I15" s="120">
        <f>I14+1</f>
        <v>26</v>
      </c>
      <c r="J15" s="120">
        <f>VLOOKUP($I15,'IALM Comparison'!$AE$4:$AJ$118,2,FALSE)</f>
        <v>9.9400000000000009E-4</v>
      </c>
      <c r="K15" s="183">
        <f>VLOOKUP($I15,'IALM Comparison'!$AE$4:$AJ$118,3,FALSE)</f>
        <v>9776.5677269505031</v>
      </c>
      <c r="L15" s="183">
        <f>VLOOKUP($I15,'IALM Comparison'!$AE$4:$AJ$118,4,FALSE)</f>
        <v>9.7179083205888013</v>
      </c>
      <c r="M15" s="184">
        <f>VLOOKUP($I15,'IALM Comparison'!$AE$4:$AJ$118,5,FALSE)</f>
        <v>0.99900599999999995</v>
      </c>
      <c r="O15" s="120">
        <v>1</v>
      </c>
      <c r="P15" s="185">
        <f t="shared" si="0"/>
        <v>0.93896713615023475</v>
      </c>
      <c r="Q15" s="185">
        <f t="shared" ref="Q15:Q24" si="2">Q14*M14</f>
        <v>0.99901600000000002</v>
      </c>
      <c r="R15" s="185">
        <f t="shared" ref="R15:R24" si="3">Q15*P15</f>
        <v>0.93804319248826296</v>
      </c>
      <c r="S15" s="185">
        <f t="shared" si="1"/>
        <v>7.2910084982417481E-3</v>
      </c>
    </row>
    <row r="16" spans="1:19" x14ac:dyDescent="0.3">
      <c r="A16" s="33"/>
      <c r="B16" s="102"/>
      <c r="C16" s="97"/>
      <c r="D16" s="104"/>
      <c r="E16" s="104"/>
      <c r="F16" s="104"/>
      <c r="G16" s="35"/>
      <c r="H16" s="120">
        <v>2</v>
      </c>
      <c r="I16" s="120">
        <f t="shared" ref="I16:I24" si="4">I15+1</f>
        <v>27</v>
      </c>
      <c r="J16" s="120">
        <f>VLOOKUP($I16,'IALM Comparison'!$AE$4:$AJ$118,2,FALSE)</f>
        <v>1.0039999999999999E-3</v>
      </c>
      <c r="K16" s="183">
        <f>VLOOKUP($I16,'IALM Comparison'!$AE$4:$AJ$118,3,FALSE)</f>
        <v>9766.8498186299148</v>
      </c>
      <c r="L16" s="183">
        <f>VLOOKUP($I16,'IALM Comparison'!$AE$4:$AJ$118,4,FALSE)</f>
        <v>9.8059172179044332</v>
      </c>
      <c r="M16" s="184">
        <f>VLOOKUP($I16,'IALM Comparison'!$AE$4:$AJ$118,5,FALSE)</f>
        <v>0.998996</v>
      </c>
      <c r="O16" s="120">
        <v>2</v>
      </c>
      <c r="P16" s="185">
        <f t="shared" si="0"/>
        <v>0.88165928277017347</v>
      </c>
      <c r="Q16" s="185">
        <f t="shared" si="2"/>
        <v>0.99802297809599994</v>
      </c>
      <c r="R16" s="185">
        <f t="shared" si="3"/>
        <v>0.87991622305627182</v>
      </c>
      <c r="S16" s="185">
        <f t="shared" si="1"/>
        <v>6.7458329668011133E-3</v>
      </c>
    </row>
    <row r="17" spans="1:19" x14ac:dyDescent="0.3">
      <c r="A17" s="33"/>
      <c r="B17" s="102" t="s">
        <v>63</v>
      </c>
      <c r="C17" s="100">
        <v>50</v>
      </c>
      <c r="D17" s="232" t="s">
        <v>52</v>
      </c>
      <c r="E17" s="232"/>
      <c r="F17" s="232"/>
      <c r="G17" s="35"/>
      <c r="H17" s="120">
        <v>3</v>
      </c>
      <c r="I17" s="120">
        <f t="shared" si="4"/>
        <v>28</v>
      </c>
      <c r="J17" s="120">
        <f>VLOOKUP($I17,'IALM Comparison'!$AE$4:$AJ$118,2,FALSE)</f>
        <v>1.0169999999999999E-3</v>
      </c>
      <c r="K17" s="183">
        <f>VLOOKUP($I17,'IALM Comparison'!$AE$4:$AJ$118,3,FALSE)</f>
        <v>9757.0439014120111</v>
      </c>
      <c r="L17" s="183">
        <f>VLOOKUP($I17,'IALM Comparison'!$AE$4:$AJ$118,4,FALSE)</f>
        <v>9.9229136477360136</v>
      </c>
      <c r="M17" s="184">
        <f>VLOOKUP($I17,'IALM Comparison'!$AE$4:$AJ$118,5,FALSE)</f>
        <v>0.99898299999999995</v>
      </c>
      <c r="O17" s="120">
        <v>3</v>
      </c>
      <c r="P17" s="185">
        <f t="shared" si="0"/>
        <v>0.82784909180297983</v>
      </c>
      <c r="Q17" s="185">
        <f t="shared" si="2"/>
        <v>0.99702096302599152</v>
      </c>
      <c r="R17" s="185">
        <f t="shared" si="3"/>
        <v>0.82538289874959947</v>
      </c>
      <c r="S17" s="185">
        <f t="shared" si="1"/>
        <v>6.1543747764030701E-3</v>
      </c>
    </row>
    <row r="18" spans="1:19" x14ac:dyDescent="0.3">
      <c r="A18" s="33"/>
      <c r="B18" s="102"/>
      <c r="C18" s="100"/>
      <c r="D18" s="104"/>
      <c r="E18" s="104"/>
      <c r="F18" s="104"/>
      <c r="G18" s="35"/>
      <c r="H18" s="120">
        <v>4</v>
      </c>
      <c r="I18" s="120">
        <f t="shared" si="4"/>
        <v>29</v>
      </c>
      <c r="J18" s="120">
        <f>VLOOKUP($I18,'IALM Comparison'!$AE$4:$AJ$118,2,FALSE)</f>
        <v>1.034E-3</v>
      </c>
      <c r="K18" s="183">
        <f>VLOOKUP($I18,'IALM Comparison'!$AE$4:$AJ$118,3,FALSE)</f>
        <v>9747.1209877642759</v>
      </c>
      <c r="L18" s="183">
        <f>VLOOKUP($I18,'IALM Comparison'!$AE$4:$AJ$118,4,FALSE)</f>
        <v>10.078523101348262</v>
      </c>
      <c r="M18" s="184">
        <f>VLOOKUP($I18,'IALM Comparison'!$AE$4:$AJ$118,5,FALSE)</f>
        <v>0.99896600000000002</v>
      </c>
      <c r="O18" s="120">
        <v>4</v>
      </c>
      <c r="P18" s="185">
        <f t="shared" si="0"/>
        <v>0.77732309089481666</v>
      </c>
      <c r="Q18" s="185">
        <f t="shared" si="2"/>
        <v>0.9960069927065941</v>
      </c>
      <c r="R18" s="185">
        <f t="shared" si="3"/>
        <v>0.77421923412354088</v>
      </c>
      <c r="S18" s="185">
        <f t="shared" si="1"/>
        <v>5.5104811218181764E-3</v>
      </c>
    </row>
    <row r="19" spans="1:19" x14ac:dyDescent="0.3">
      <c r="A19" s="33"/>
      <c r="B19" s="102" t="s">
        <v>64</v>
      </c>
      <c r="C19" s="100">
        <v>1500</v>
      </c>
      <c r="D19" s="104"/>
      <c r="E19" s="104"/>
      <c r="F19" s="104"/>
      <c r="G19" s="35"/>
      <c r="H19" s="120">
        <v>5</v>
      </c>
      <c r="I19" s="120">
        <f t="shared" si="4"/>
        <v>30</v>
      </c>
      <c r="J19" s="120">
        <f>VLOOKUP($I19,'IALM Comparison'!$AE$4:$AJ$118,2,FALSE)</f>
        <v>1.0560000000000001E-3</v>
      </c>
      <c r="K19" s="183">
        <f>VLOOKUP($I19,'IALM Comparison'!$AE$4:$AJ$118,3,FALSE)</f>
        <v>9737.0424646629272</v>
      </c>
      <c r="L19" s="183">
        <f>VLOOKUP($I19,'IALM Comparison'!$AE$4:$AJ$118,4,FALSE)</f>
        <v>10.282316842684052</v>
      </c>
      <c r="M19" s="184">
        <f>VLOOKUP($I19,'IALM Comparison'!$AE$4:$AJ$118,5,FALSE)</f>
        <v>0.99894400000000005</v>
      </c>
      <c r="O19" s="120">
        <v>5</v>
      </c>
      <c r="P19" s="185">
        <f t="shared" si="0"/>
        <v>0.72988083652095459</v>
      </c>
      <c r="Q19" s="185">
        <f t="shared" si="2"/>
        <v>0.99497712147613548</v>
      </c>
      <c r="R19" s="185">
        <f t="shared" si="3"/>
        <v>0.72621473374221324</v>
      </c>
      <c r="S19" s="185">
        <f t="shared" si="1"/>
        <v>4.8065563973747928E-3</v>
      </c>
    </row>
    <row r="20" spans="1:19" x14ac:dyDescent="0.3">
      <c r="A20" s="33"/>
      <c r="B20" s="102"/>
      <c r="C20" s="100"/>
      <c r="D20" s="104"/>
      <c r="E20" s="104"/>
      <c r="F20" s="104"/>
      <c r="G20" s="35"/>
      <c r="H20" s="120">
        <v>6</v>
      </c>
      <c r="I20" s="120">
        <f t="shared" si="4"/>
        <v>31</v>
      </c>
      <c r="J20" s="120">
        <f>VLOOKUP($I20,'IALM Comparison'!$AE$4:$AJ$118,2,FALSE)</f>
        <v>1.0839999999999999E-3</v>
      </c>
      <c r="K20" s="183">
        <f>VLOOKUP($I20,'IALM Comparison'!$AE$4:$AJ$118,3,FALSE)</f>
        <v>9726.7601478202432</v>
      </c>
      <c r="L20" s="183">
        <f>VLOOKUP($I20,'IALM Comparison'!$AE$4:$AJ$118,4,FALSE)</f>
        <v>10.543808000237142</v>
      </c>
      <c r="M20" s="184">
        <f>VLOOKUP($I20,'IALM Comparison'!$AE$4:$AJ$118,5,FALSE)</f>
        <v>0.99891600000000003</v>
      </c>
      <c r="O20" s="120">
        <v>6</v>
      </c>
      <c r="P20" s="185">
        <f t="shared" si="0"/>
        <v>0.6853341187990184</v>
      </c>
      <c r="Q20" s="185">
        <f t="shared" si="2"/>
        <v>0.99392642563585676</v>
      </c>
      <c r="R20" s="185">
        <f t="shared" si="3"/>
        <v>0.68117169106420794</v>
      </c>
      <c r="S20" s="185">
        <f t="shared" si="1"/>
        <v>4.0334621784034923E-3</v>
      </c>
    </row>
    <row r="21" spans="1:19" ht="15" thickBot="1" x14ac:dyDescent="0.35">
      <c r="A21" s="33"/>
      <c r="B21" s="103" t="s">
        <v>65</v>
      </c>
      <c r="C21" s="101">
        <v>40</v>
      </c>
      <c r="D21" s="233" t="s">
        <v>52</v>
      </c>
      <c r="E21" s="233"/>
      <c r="F21" s="234"/>
      <c r="G21" s="35"/>
      <c r="H21" s="120">
        <v>7</v>
      </c>
      <c r="I21" s="120">
        <f t="shared" si="4"/>
        <v>32</v>
      </c>
      <c r="J21" s="120">
        <f>VLOOKUP($I21,'IALM Comparison'!$AE$4:$AJ$118,2,FALSE)</f>
        <v>1.119E-3</v>
      </c>
      <c r="K21" s="183">
        <f>VLOOKUP($I21,'IALM Comparison'!$AE$4:$AJ$118,3,FALSE)</f>
        <v>9716.2163398200064</v>
      </c>
      <c r="L21" s="183">
        <f>VLOOKUP($I21,'IALM Comparison'!$AE$4:$AJ$118,4,FALSE)</f>
        <v>10.872446084258588</v>
      </c>
      <c r="M21" s="184">
        <f>VLOOKUP($I21,'IALM Comparison'!$AE$4:$AJ$118,5,FALSE)</f>
        <v>0.99888100000000002</v>
      </c>
      <c r="O21" s="120">
        <v>7</v>
      </c>
      <c r="P21" s="185">
        <f t="shared" si="0"/>
        <v>0.64350621483475912</v>
      </c>
      <c r="Q21" s="185">
        <f t="shared" si="2"/>
        <v>0.9928490093904675</v>
      </c>
      <c r="R21" s="185">
        <f t="shared" si="3"/>
        <v>0.63890450793529996</v>
      </c>
      <c r="S21" s="185">
        <f t="shared" si="1"/>
        <v>3.1804093884990267E-3</v>
      </c>
    </row>
    <row r="22" spans="1:19" ht="15" thickTop="1" x14ac:dyDescent="0.3">
      <c r="H22" s="120">
        <v>8</v>
      </c>
      <c r="I22" s="120">
        <f t="shared" si="4"/>
        <v>33</v>
      </c>
      <c r="J22" s="120">
        <f>VLOOKUP($I22,'IALM Comparison'!$AE$4:$AJ$118,2,FALSE)</f>
        <v>1.1640000000000001E-3</v>
      </c>
      <c r="K22" s="183">
        <f>VLOOKUP($I22,'IALM Comparison'!$AE$4:$AJ$118,3,FALSE)</f>
        <v>9705.3438937357478</v>
      </c>
      <c r="L22" s="183">
        <f>VLOOKUP($I22,'IALM Comparison'!$AE$4:$AJ$118,4,FALSE)</f>
        <v>11.297020292308412</v>
      </c>
      <c r="M22" s="184">
        <f>VLOOKUP($I22,'IALM Comparison'!$AE$4:$AJ$118,5,FALSE)</f>
        <v>0.99883599999999995</v>
      </c>
      <c r="O22" s="120">
        <v>8</v>
      </c>
      <c r="P22" s="185">
        <f t="shared" si="0"/>
        <v>0.60423118763827144</v>
      </c>
      <c r="Q22" s="185">
        <f t="shared" si="2"/>
        <v>0.99173801134895956</v>
      </c>
      <c r="R22" s="185">
        <f t="shared" si="3"/>
        <v>0.59923903642339937</v>
      </c>
      <c r="S22" s="185">
        <f t="shared" si="1"/>
        <v>2.234841798425112E-3</v>
      </c>
    </row>
    <row r="23" spans="1:19" x14ac:dyDescent="0.3">
      <c r="H23" s="120">
        <v>9</v>
      </c>
      <c r="I23" s="120">
        <f t="shared" si="4"/>
        <v>34</v>
      </c>
      <c r="J23" s="120">
        <f>VLOOKUP($I23,'IALM Comparison'!$AE$4:$AJ$118,2,FALSE)</f>
        <v>1.2179999999999999E-3</v>
      </c>
      <c r="K23" s="183">
        <f>VLOOKUP($I23,'IALM Comparison'!$AE$4:$AJ$118,3,FALSE)</f>
        <v>9694.0468734434398</v>
      </c>
      <c r="L23" s="183">
        <f>VLOOKUP($I23,'IALM Comparison'!$AE$4:$AJ$118,4,FALSE)</f>
        <v>11.807349091854109</v>
      </c>
      <c r="M23" s="184">
        <f>VLOOKUP($I23,'IALM Comparison'!$AE$4:$AJ$118,5,FALSE)</f>
        <v>0.99878199999999995</v>
      </c>
      <c r="O23" s="120">
        <v>9</v>
      </c>
      <c r="P23" s="185">
        <f t="shared" si="0"/>
        <v>0.56735322782936282</v>
      </c>
      <c r="Q23" s="185">
        <f t="shared" si="2"/>
        <v>0.99058362830374935</v>
      </c>
      <c r="R23" s="185">
        <f t="shared" si="3"/>
        <v>0.56201081895305394</v>
      </c>
      <c r="S23" s="185">
        <f>(v^0.5)*(L23/K23)</f>
        <v>1.1802458564596364E-3</v>
      </c>
    </row>
    <row r="24" spans="1:19" x14ac:dyDescent="0.3">
      <c r="H24" s="120">
        <v>10</v>
      </c>
      <c r="I24" s="120">
        <f t="shared" si="4"/>
        <v>35</v>
      </c>
      <c r="J24" s="120">
        <f>VLOOKUP($I24,'IALM Comparison'!$AE$4:$AJ$118,2,FALSE)</f>
        <v>1.2819999999999999E-3</v>
      </c>
      <c r="K24" s="183">
        <f>VLOOKUP($I24,'IALM Comparison'!$AE$4:$AJ$118,3,FALSE)</f>
        <v>9682.2395243515857</v>
      </c>
      <c r="L24" s="183">
        <f>VLOOKUP($I24,'IALM Comparison'!$AE$4:$AJ$118,4,FALSE)</f>
        <v>12.412631070218731</v>
      </c>
      <c r="M24" s="184">
        <f>VLOOKUP($I24,'IALM Comparison'!$AE$4:$AJ$118,5,FALSE)</f>
        <v>0.99871799999999999</v>
      </c>
      <c r="O24" s="120">
        <v>10</v>
      </c>
      <c r="P24" s="185">
        <v>0</v>
      </c>
      <c r="Q24" s="185">
        <f t="shared" si="2"/>
        <v>0.98937709744447533</v>
      </c>
      <c r="R24" s="185">
        <f t="shared" si="3"/>
        <v>0</v>
      </c>
      <c r="S24" s="185">
        <v>0</v>
      </c>
    </row>
    <row r="26" spans="1:19" x14ac:dyDescent="0.3">
      <c r="H26" s="230" t="s">
        <v>50</v>
      </c>
      <c r="I26" s="230"/>
      <c r="J26" s="230"/>
      <c r="K26" s="230"/>
      <c r="L26" s="230"/>
      <c r="M26" s="230"/>
    </row>
    <row r="27" spans="1:19" x14ac:dyDescent="0.3">
      <c r="H27" s="120" t="s">
        <v>40</v>
      </c>
      <c r="I27" s="120" t="s">
        <v>41</v>
      </c>
      <c r="J27" s="182"/>
      <c r="K27" s="182"/>
      <c r="L27" s="182"/>
      <c r="M27" s="182"/>
      <c r="O27" s="120" t="s">
        <v>40</v>
      </c>
      <c r="P27" s="120" t="s">
        <v>46</v>
      </c>
      <c r="Q27" s="120" t="s">
        <v>48</v>
      </c>
      <c r="R27" s="120" t="s">
        <v>47</v>
      </c>
      <c r="S27" s="120" t="s">
        <v>49</v>
      </c>
    </row>
    <row r="28" spans="1:19" x14ac:dyDescent="0.3">
      <c r="H28" s="120">
        <v>0</v>
      </c>
      <c r="I28" s="120">
        <f>F3</f>
        <v>25</v>
      </c>
      <c r="J28" s="120">
        <f>VLOOKUP($I28,'IALM Comparison'!$AL$4:$AQ$118,2,FALSE)</f>
        <v>9.3099999999999997E-4</v>
      </c>
      <c r="K28" s="120">
        <f>VLOOKUP($I28,'IALM Comparison'!$AL$4:$AQ$118,3,FALSE)</f>
        <v>9866.5878953299416</v>
      </c>
      <c r="L28" s="120">
        <f>VLOOKUP($I28,'IALM Comparison'!$AL$4:$AQ$118,4,FALSE)</f>
        <v>9.1857933305521762</v>
      </c>
      <c r="M28" s="120">
        <f>VLOOKUP($I28,'IALM Comparison'!$AL$4:$AQ$118,5,FALSE)</f>
        <v>0.99906899999999998</v>
      </c>
      <c r="O28" s="120">
        <v>0</v>
      </c>
      <c r="P28" s="185">
        <f t="shared" ref="P28:P37" si="5">v^O28</f>
        <v>1</v>
      </c>
      <c r="Q28" s="185">
        <v>1</v>
      </c>
      <c r="R28" s="185">
        <f>Q28*P28</f>
        <v>1</v>
      </c>
      <c r="S28" s="185">
        <f t="shared" ref="S28:S36" si="6">(S29*v)*(M28)+(v^0.5)*(L28/K28)</f>
        <v>7.264857858993428E-3</v>
      </c>
    </row>
    <row r="29" spans="1:19" x14ac:dyDescent="0.3">
      <c r="H29" s="120">
        <v>1</v>
      </c>
      <c r="I29" s="120">
        <f>I28+1</f>
        <v>26</v>
      </c>
      <c r="J29" s="120">
        <f>VLOOKUP($I29,'IALM Comparison'!$AL$4:$AQ$118,2,FALSE)</f>
        <v>9.3099999999999997E-4</v>
      </c>
      <c r="K29" s="120">
        <f>VLOOKUP($I29,'IALM Comparison'!$AL$4:$AQ$118,3,FALSE)</f>
        <v>9857.4021019993888</v>
      </c>
      <c r="L29" s="120">
        <f>VLOOKUP($I29,'IALM Comparison'!$AL$4:$AQ$118,4,FALSE)</f>
        <v>9.1772413569614315</v>
      </c>
      <c r="M29" s="120">
        <f>VLOOKUP($I29,'IALM Comparison'!$AL$4:$AQ$118,5,FALSE)</f>
        <v>0.99906899999999998</v>
      </c>
      <c r="O29" s="120">
        <v>1</v>
      </c>
      <c r="P29" s="185">
        <f t="shared" si="5"/>
        <v>0.93896713615023475</v>
      </c>
      <c r="Q29" s="185">
        <f t="shared" ref="Q29:Q38" si="7">Q28*M28</f>
        <v>0.99906899999999998</v>
      </c>
      <c r="R29" s="185">
        <f t="shared" ref="R29:R38" si="8">Q29*P29</f>
        <v>0.93809295774647883</v>
      </c>
      <c r="S29" s="185">
        <f t="shared" si="6"/>
        <v>6.7826070526363896E-3</v>
      </c>
    </row>
    <row r="30" spans="1:19" x14ac:dyDescent="0.3">
      <c r="H30" s="120">
        <v>2</v>
      </c>
      <c r="I30" s="120">
        <f t="shared" ref="I30:I38" si="9">I29+1</f>
        <v>27</v>
      </c>
      <c r="J30" s="120">
        <f>VLOOKUP($I30,'IALM Comparison'!$AL$4:$AQ$118,2,FALSE)</f>
        <v>9.3400000000000004E-4</v>
      </c>
      <c r="K30" s="120">
        <f>VLOOKUP($I30,'IALM Comparison'!$AL$4:$AQ$118,3,FALSE)</f>
        <v>9848.2248606424273</v>
      </c>
      <c r="L30" s="120">
        <f>VLOOKUP($I30,'IALM Comparison'!$AL$4:$AQ$118,4,FALSE)</f>
        <v>9.198242019840027</v>
      </c>
      <c r="M30" s="120">
        <f>VLOOKUP($I30,'IALM Comparison'!$AL$4:$AQ$118,5,FALSE)</f>
        <v>0.99906600000000001</v>
      </c>
      <c r="O30" s="120">
        <v>2</v>
      </c>
      <c r="P30" s="185">
        <f t="shared" si="5"/>
        <v>0.88165928277017347</v>
      </c>
      <c r="Q30" s="185">
        <f t="shared" si="7"/>
        <v>0.99813886676099994</v>
      </c>
      <c r="R30" s="185">
        <f t="shared" si="8"/>
        <v>0.88001839737353693</v>
      </c>
      <c r="S30" s="185">
        <f t="shared" si="6"/>
        <v>6.2685313393770993E-3</v>
      </c>
    </row>
    <row r="31" spans="1:19" x14ac:dyDescent="0.3">
      <c r="H31" s="120">
        <v>3</v>
      </c>
      <c r="I31" s="120">
        <f t="shared" si="9"/>
        <v>28</v>
      </c>
      <c r="J31" s="120">
        <f>VLOOKUP($I31,'IALM Comparison'!$AL$4:$AQ$118,2,FALSE)</f>
        <v>9.4200000000000002E-4</v>
      </c>
      <c r="K31" s="120">
        <f>VLOOKUP($I31,'IALM Comparison'!$AL$4:$AQ$118,3,FALSE)</f>
        <v>9839.0266186225872</v>
      </c>
      <c r="L31" s="120">
        <f>VLOOKUP($I31,'IALM Comparison'!$AL$4:$AQ$118,4,FALSE)</f>
        <v>9.2683630747424779</v>
      </c>
      <c r="M31" s="120">
        <f>VLOOKUP($I31,'IALM Comparison'!$AL$4:$AQ$118,5,FALSE)</f>
        <v>0.999058</v>
      </c>
      <c r="O31" s="120">
        <v>3</v>
      </c>
      <c r="P31" s="185">
        <f t="shared" si="5"/>
        <v>0.82784909180297983</v>
      </c>
      <c r="Q31" s="185">
        <f t="shared" si="7"/>
        <v>0.99720660505944514</v>
      </c>
      <c r="R31" s="185">
        <f t="shared" si="8"/>
        <v>0.82553658233839444</v>
      </c>
      <c r="S31" s="185">
        <f t="shared" si="6"/>
        <v>5.717448834174031E-3</v>
      </c>
    </row>
    <row r="32" spans="1:19" x14ac:dyDescent="0.3">
      <c r="H32" s="120">
        <v>4</v>
      </c>
      <c r="I32" s="120">
        <f t="shared" si="9"/>
        <v>29</v>
      </c>
      <c r="J32" s="120">
        <f>VLOOKUP($I32,'IALM Comparison'!$AL$4:$AQ$118,2,FALSE)</f>
        <v>9.5600000000000004E-4</v>
      </c>
      <c r="K32" s="120">
        <f>VLOOKUP($I32,'IALM Comparison'!$AL$4:$AQ$118,3,FALSE)</f>
        <v>9829.7582555478439</v>
      </c>
      <c r="L32" s="120">
        <f>VLOOKUP($I32,'IALM Comparison'!$AL$4:$AQ$118,4,FALSE)</f>
        <v>9.3972488923037396</v>
      </c>
      <c r="M32" s="120">
        <f>VLOOKUP($I32,'IALM Comparison'!$AL$4:$AQ$118,5,FALSE)</f>
        <v>0.99904400000000004</v>
      </c>
      <c r="O32" s="120">
        <v>4</v>
      </c>
      <c r="P32" s="185">
        <f t="shared" si="5"/>
        <v>0.77732309089481666</v>
      </c>
      <c r="Q32" s="185">
        <f t="shared" si="7"/>
        <v>0.99626723643747916</v>
      </c>
      <c r="R32" s="185">
        <f t="shared" si="8"/>
        <v>0.77442152758481841</v>
      </c>
      <c r="S32" s="185">
        <f t="shared" si="6"/>
        <v>5.1217746736880385E-3</v>
      </c>
    </row>
    <row r="33" spans="8:19" x14ac:dyDescent="0.3">
      <c r="H33" s="120">
        <v>5</v>
      </c>
      <c r="I33" s="120">
        <f t="shared" si="9"/>
        <v>30</v>
      </c>
      <c r="J33" s="120">
        <f>VLOOKUP($I33,'IALM Comparison'!$AL$4:$AQ$118,2,FALSE)</f>
        <v>9.77E-4</v>
      </c>
      <c r="K33" s="120">
        <f>VLOOKUP($I33,'IALM Comparison'!$AL$4:$AQ$118,3,FALSE)</f>
        <v>9820.3610066555393</v>
      </c>
      <c r="L33" s="120">
        <f>VLOOKUP($I33,'IALM Comparison'!$AL$4:$AQ$118,4,FALSE)</f>
        <v>9.5944927035024623</v>
      </c>
      <c r="M33" s="120">
        <f>VLOOKUP($I33,'IALM Comparison'!$AL$4:$AQ$118,5,FALSE)</f>
        <v>0.99902299999999999</v>
      </c>
      <c r="O33" s="120">
        <v>5</v>
      </c>
      <c r="P33" s="185">
        <f t="shared" si="5"/>
        <v>0.72988083652095459</v>
      </c>
      <c r="Q33" s="185">
        <f t="shared" si="7"/>
        <v>0.99531480495944502</v>
      </c>
      <c r="R33" s="185">
        <f t="shared" si="8"/>
        <v>0.72646120244549051</v>
      </c>
      <c r="S33" s="185">
        <f t="shared" si="6"/>
        <v>4.4723847436343713E-3</v>
      </c>
    </row>
    <row r="34" spans="8:19" x14ac:dyDescent="0.3">
      <c r="H34" s="120">
        <v>6</v>
      </c>
      <c r="I34" s="120">
        <f t="shared" si="9"/>
        <v>31</v>
      </c>
      <c r="J34" s="120">
        <f>VLOOKUP($I34,'IALM Comparison'!$AL$4:$AQ$118,2,FALSE)</f>
        <v>1.005E-3</v>
      </c>
      <c r="K34" s="120">
        <f>VLOOKUP($I34,'IALM Comparison'!$AL$4:$AQ$118,3,FALSE)</f>
        <v>9810.7665139520377</v>
      </c>
      <c r="L34" s="120">
        <f>VLOOKUP($I34,'IALM Comparison'!$AL$4:$AQ$118,4,FALSE)</f>
        <v>9.8598203465217988</v>
      </c>
      <c r="M34" s="120">
        <f>VLOOKUP($I34,'IALM Comparison'!$AL$4:$AQ$118,5,FALSE)</f>
        <v>0.99899499999999997</v>
      </c>
      <c r="O34" s="120">
        <v>6</v>
      </c>
      <c r="P34" s="185">
        <f t="shared" si="5"/>
        <v>0.6853341187990184</v>
      </c>
      <c r="Q34" s="185">
        <f t="shared" si="7"/>
        <v>0.99434238239499961</v>
      </c>
      <c r="R34" s="185">
        <f t="shared" si="8"/>
        <v>0.6814567604231937</v>
      </c>
      <c r="S34" s="185">
        <f t="shared" si="6"/>
        <v>3.7585091759646415E-3</v>
      </c>
    </row>
    <row r="35" spans="8:19" x14ac:dyDescent="0.3">
      <c r="H35" s="120">
        <v>7</v>
      </c>
      <c r="I35" s="120">
        <f t="shared" si="9"/>
        <v>32</v>
      </c>
      <c r="J35" s="120">
        <f>VLOOKUP($I35,'IALM Comparison'!$AL$4:$AQ$118,2,FALSE)</f>
        <v>1.042E-3</v>
      </c>
      <c r="K35" s="120">
        <f>VLOOKUP($I35,'IALM Comparison'!$AL$4:$AQ$118,3,FALSE)</f>
        <v>9800.9066936055151</v>
      </c>
      <c r="L35" s="120">
        <f>VLOOKUP($I35,'IALM Comparison'!$AL$4:$AQ$118,4,FALSE)</f>
        <v>10.212544774736946</v>
      </c>
      <c r="M35" s="120">
        <f>VLOOKUP($I35,'IALM Comparison'!$AL$4:$AQ$118,5,FALSE)</f>
        <v>0.99895800000000001</v>
      </c>
      <c r="O35" s="120">
        <v>7</v>
      </c>
      <c r="P35" s="185">
        <f t="shared" si="5"/>
        <v>0.64350621483475912</v>
      </c>
      <c r="Q35" s="185">
        <f t="shared" si="7"/>
        <v>0.99334306830069263</v>
      </c>
      <c r="R35" s="185">
        <f t="shared" si="8"/>
        <v>0.63922243791452427</v>
      </c>
      <c r="S35" s="185">
        <f t="shared" si="6"/>
        <v>2.9686474492011386E-3</v>
      </c>
    </row>
    <row r="36" spans="8:19" x14ac:dyDescent="0.3">
      <c r="H36" s="120">
        <v>8</v>
      </c>
      <c r="I36" s="120">
        <f t="shared" si="9"/>
        <v>33</v>
      </c>
      <c r="J36" s="120">
        <f>VLOOKUP($I36,'IALM Comparison'!$AL$4:$AQ$118,2,FALSE)</f>
        <v>1.0859999999999999E-3</v>
      </c>
      <c r="K36" s="120">
        <f>VLOOKUP($I36,'IALM Comparison'!$AL$4:$AQ$118,3,FALSE)</f>
        <v>9790.6941488307784</v>
      </c>
      <c r="L36" s="120">
        <f>VLOOKUP($I36,'IALM Comparison'!$AL$4:$AQ$118,4,FALSE)</f>
        <v>10.632693845630225</v>
      </c>
      <c r="M36" s="120">
        <f>VLOOKUP($I36,'IALM Comparison'!$AL$4:$AQ$118,5,FALSE)</f>
        <v>0.99891399999999997</v>
      </c>
      <c r="O36" s="120">
        <v>8</v>
      </c>
      <c r="P36" s="185">
        <f t="shared" si="5"/>
        <v>0.60423118763827144</v>
      </c>
      <c r="Q36" s="185">
        <f t="shared" si="7"/>
        <v>0.99230800482352333</v>
      </c>
      <c r="R36" s="185">
        <f t="shared" si="8"/>
        <v>0.59958344425748111</v>
      </c>
      <c r="S36" s="185">
        <f t="shared" si="6"/>
        <v>2.0884538186255503E-3</v>
      </c>
    </row>
    <row r="37" spans="8:19" x14ac:dyDescent="0.3">
      <c r="H37" s="120">
        <v>9</v>
      </c>
      <c r="I37" s="120">
        <f t="shared" si="9"/>
        <v>34</v>
      </c>
      <c r="J37" s="120">
        <f>VLOOKUP($I37,'IALM Comparison'!$AL$4:$AQ$118,2,FALSE)</f>
        <v>1.14E-3</v>
      </c>
      <c r="K37" s="120">
        <f>VLOOKUP($I37,'IALM Comparison'!$AL$4:$AQ$118,3,FALSE)</f>
        <v>9780.0614549851489</v>
      </c>
      <c r="L37" s="120">
        <f>VLOOKUP($I37,'IALM Comparison'!$AL$4:$AQ$118,4,FALSE)</f>
        <v>11.149270058683069</v>
      </c>
      <c r="M37" s="120">
        <f>VLOOKUP($I37,'IALM Comparison'!$AL$4:$AQ$118,5,FALSE)</f>
        <v>0.99885999999999997</v>
      </c>
      <c r="O37" s="120">
        <v>9</v>
      </c>
      <c r="P37" s="185">
        <f t="shared" si="5"/>
        <v>0.56735322782936282</v>
      </c>
      <c r="Q37" s="185">
        <f t="shared" si="7"/>
        <v>0.99123035833028494</v>
      </c>
      <c r="R37" s="185">
        <f>Q37*P37</f>
        <v>0.5623777433211431</v>
      </c>
      <c r="S37" s="185">
        <f>(v^0.5)*(L37/K37)</f>
        <v>1.104663609494241E-3</v>
      </c>
    </row>
    <row r="38" spans="8:19" x14ac:dyDescent="0.3">
      <c r="H38" s="120">
        <v>10</v>
      </c>
      <c r="I38" s="120">
        <f t="shared" si="9"/>
        <v>35</v>
      </c>
      <c r="J38" s="120">
        <f>VLOOKUP($I38,'IALM Comparison'!$AL$4:$AQ$118,2,FALSE)</f>
        <v>1.2019999999999999E-3</v>
      </c>
      <c r="K38" s="120">
        <f>VLOOKUP($I38,'IALM Comparison'!$AL$4:$AQ$118,3,FALSE)</f>
        <v>9768.9121849264666</v>
      </c>
      <c r="L38" s="120">
        <f>VLOOKUP($I38,'IALM Comparison'!$AL$4:$AQ$118,4,FALSE)</f>
        <v>11.742232446281612</v>
      </c>
      <c r="M38" s="120">
        <f>VLOOKUP($I38,'IALM Comparison'!$AL$4:$AQ$118,5,FALSE)</f>
        <v>0.99879799999999996</v>
      </c>
      <c r="O38" s="120">
        <v>10</v>
      </c>
      <c r="P38" s="185">
        <v>0</v>
      </c>
      <c r="Q38" s="185">
        <f t="shared" si="7"/>
        <v>0.99010035572178834</v>
      </c>
      <c r="R38" s="185">
        <f t="shared" si="8"/>
        <v>0</v>
      </c>
      <c r="S38" s="185">
        <v>0</v>
      </c>
    </row>
    <row r="41" spans="8:19" x14ac:dyDescent="0.3">
      <c r="I41" s="226" t="s">
        <v>53</v>
      </c>
      <c r="J41" s="226"/>
    </row>
    <row r="42" spans="8:19" x14ac:dyDescent="0.3">
      <c r="I42" s="227"/>
      <c r="J42" s="227"/>
    </row>
    <row r="44" spans="8:19" x14ac:dyDescent="0.3">
      <c r="H44" s="229" t="s">
        <v>43</v>
      </c>
      <c r="I44" s="229"/>
      <c r="J44" s="229"/>
      <c r="K44" s="229"/>
      <c r="L44" s="229"/>
      <c r="M44" s="229"/>
    </row>
    <row r="45" spans="8:19" x14ac:dyDescent="0.3">
      <c r="H45" s="108" t="s">
        <v>40</v>
      </c>
      <c r="I45" s="108" t="s">
        <v>41</v>
      </c>
      <c r="J45" s="186"/>
      <c r="K45" s="186"/>
      <c r="L45" s="186"/>
      <c r="M45" s="186"/>
      <c r="O45" s="108" t="s">
        <v>40</v>
      </c>
      <c r="P45" s="108" t="s">
        <v>46</v>
      </c>
      <c r="Q45" s="108" t="s">
        <v>48</v>
      </c>
      <c r="R45" s="108" t="s">
        <v>47</v>
      </c>
      <c r="S45" s="108" t="s">
        <v>49</v>
      </c>
    </row>
    <row r="46" spans="8:19" x14ac:dyDescent="0.3">
      <c r="H46" s="108">
        <v>0</v>
      </c>
      <c r="I46" s="108">
        <f>F4</f>
        <v>30</v>
      </c>
      <c r="J46" s="108">
        <f>VLOOKUP($I46,'IALM Comparison'!$AE$4:$AJ$118,2,FALSE)</f>
        <v>1.0560000000000001E-3</v>
      </c>
      <c r="K46" s="187">
        <f>VLOOKUP($I46,'IALM Comparison'!$AE$4:$AJ$118,3,FALSE)</f>
        <v>9737.0424646629272</v>
      </c>
      <c r="L46" s="187">
        <f>VLOOKUP($I46,'IALM Comparison'!$AE$4:$AJ$118,4,FALSE)</f>
        <v>10.282316842684052</v>
      </c>
      <c r="M46" s="188">
        <f>VLOOKUP($I46,'IALM Comparison'!$AE$4:$AJ$118,5,FALSE)</f>
        <v>0.99894400000000005</v>
      </c>
      <c r="O46" s="108">
        <v>0</v>
      </c>
      <c r="P46" s="189">
        <f t="shared" ref="P46:P55" si="10">v^O46</f>
        <v>1</v>
      </c>
      <c r="Q46" s="189">
        <v>1</v>
      </c>
      <c r="R46" s="189">
        <f>Q46*P46</f>
        <v>1</v>
      </c>
      <c r="S46" s="189">
        <f t="shared" ref="S46:S54" si="11">(S47*v)*(M46)+(v^0.5)*(L46/K46)</f>
        <v>9.3029472389724241E-3</v>
      </c>
    </row>
    <row r="47" spans="8:19" x14ac:dyDescent="0.3">
      <c r="H47" s="108">
        <v>1</v>
      </c>
      <c r="I47" s="108">
        <f>I46+1</f>
        <v>31</v>
      </c>
      <c r="J47" s="108">
        <f>VLOOKUP($I47,'IALM Comparison'!$AE$4:$AJ$118,2,FALSE)</f>
        <v>1.0839999999999999E-3</v>
      </c>
      <c r="K47" s="187">
        <f>VLOOKUP($I47,'IALM Comparison'!$AE$4:$AJ$118,3,FALSE)</f>
        <v>9726.7601478202432</v>
      </c>
      <c r="L47" s="187">
        <f>VLOOKUP($I47,'IALM Comparison'!$AE$4:$AJ$118,4,FALSE)</f>
        <v>10.543808000237142</v>
      </c>
      <c r="M47" s="188">
        <f>VLOOKUP($I47,'IALM Comparison'!$AE$4:$AJ$118,5,FALSE)</f>
        <v>0.99891600000000003</v>
      </c>
      <c r="O47" s="108">
        <v>1</v>
      </c>
      <c r="P47" s="189">
        <f t="shared" si="10"/>
        <v>0.93896713615023475</v>
      </c>
      <c r="Q47" s="189">
        <f t="shared" ref="Q47:Q56" si="12">Q46*M46</f>
        <v>0.99894400000000005</v>
      </c>
      <c r="R47" s="189">
        <f t="shared" ref="R47:R56" si="13">Q47*P47</f>
        <v>0.93797558685446014</v>
      </c>
      <c r="S47" s="189">
        <f t="shared" si="11"/>
        <v>8.8271805913490414E-3</v>
      </c>
    </row>
    <row r="48" spans="8:19" x14ac:dyDescent="0.3">
      <c r="H48" s="108">
        <v>2</v>
      </c>
      <c r="I48" s="108">
        <f t="shared" ref="I48:I56" si="14">I47+1</f>
        <v>32</v>
      </c>
      <c r="J48" s="108">
        <f>VLOOKUP($I48,'IALM Comparison'!$AE$4:$AJ$118,2,FALSE)</f>
        <v>1.119E-3</v>
      </c>
      <c r="K48" s="187">
        <f>VLOOKUP($I48,'IALM Comparison'!$AE$4:$AJ$118,3,FALSE)</f>
        <v>9716.2163398200064</v>
      </c>
      <c r="L48" s="187">
        <f>VLOOKUP($I48,'IALM Comparison'!$AE$4:$AJ$118,4,FALSE)</f>
        <v>10.872446084258588</v>
      </c>
      <c r="M48" s="188">
        <f>VLOOKUP($I48,'IALM Comparison'!$AE$4:$AJ$118,5,FALSE)</f>
        <v>0.99888100000000002</v>
      </c>
      <c r="O48" s="108">
        <v>2</v>
      </c>
      <c r="P48" s="189">
        <f t="shared" si="10"/>
        <v>0.88165928277017347</v>
      </c>
      <c r="Q48" s="189">
        <f t="shared" si="12"/>
        <v>0.99786114470400011</v>
      </c>
      <c r="R48" s="189">
        <f t="shared" si="13"/>
        <v>0.87977354114395301</v>
      </c>
      <c r="S48" s="189">
        <f t="shared" si="11"/>
        <v>8.2912596599803209E-3</v>
      </c>
    </row>
    <row r="49" spans="8:19" x14ac:dyDescent="0.3">
      <c r="H49" s="108">
        <v>3</v>
      </c>
      <c r="I49" s="108">
        <f t="shared" si="14"/>
        <v>33</v>
      </c>
      <c r="J49" s="108">
        <f>VLOOKUP($I49,'IALM Comparison'!$AE$4:$AJ$118,2,FALSE)</f>
        <v>1.1640000000000001E-3</v>
      </c>
      <c r="K49" s="187">
        <f>VLOOKUP($I49,'IALM Comparison'!$AE$4:$AJ$118,3,FALSE)</f>
        <v>9705.3438937357478</v>
      </c>
      <c r="L49" s="187">
        <f>VLOOKUP($I49,'IALM Comparison'!$AE$4:$AJ$118,4,FALSE)</f>
        <v>11.297020292308412</v>
      </c>
      <c r="M49" s="188">
        <f>VLOOKUP($I49,'IALM Comparison'!$AE$4:$AJ$118,5,FALSE)</f>
        <v>0.99883599999999995</v>
      </c>
      <c r="O49" s="108">
        <v>3</v>
      </c>
      <c r="P49" s="189">
        <f t="shared" si="10"/>
        <v>0.82784909180297983</v>
      </c>
      <c r="Q49" s="189">
        <f t="shared" si="12"/>
        <v>0.99674453808307639</v>
      </c>
      <c r="R49" s="189">
        <f t="shared" si="13"/>
        <v>0.82515406061165542</v>
      </c>
      <c r="S49" s="189">
        <f t="shared" si="11"/>
        <v>7.6839949399180206E-3</v>
      </c>
    </row>
    <row r="50" spans="8:19" x14ac:dyDescent="0.3">
      <c r="H50" s="108">
        <v>4</v>
      </c>
      <c r="I50" s="108">
        <f t="shared" si="14"/>
        <v>34</v>
      </c>
      <c r="J50" s="108">
        <f>VLOOKUP($I50,'IALM Comparison'!$AE$4:$AJ$118,2,FALSE)</f>
        <v>1.2179999999999999E-3</v>
      </c>
      <c r="K50" s="187">
        <f>VLOOKUP($I50,'IALM Comparison'!$AE$4:$AJ$118,3,FALSE)</f>
        <v>9694.0468734434398</v>
      </c>
      <c r="L50" s="187">
        <f>VLOOKUP($I50,'IALM Comparison'!$AE$4:$AJ$118,4,FALSE)</f>
        <v>11.807349091854109</v>
      </c>
      <c r="M50" s="188">
        <f>VLOOKUP($I50,'IALM Comparison'!$AE$4:$AJ$118,5,FALSE)</f>
        <v>0.99878199999999995</v>
      </c>
      <c r="O50" s="108">
        <v>4</v>
      </c>
      <c r="P50" s="189">
        <f t="shared" si="10"/>
        <v>0.77732309089481666</v>
      </c>
      <c r="Q50" s="189">
        <f t="shared" si="12"/>
        <v>0.99558432744074765</v>
      </c>
      <c r="R50" s="189">
        <f t="shared" si="13"/>
        <v>0.77389068665267924</v>
      </c>
      <c r="S50" s="189">
        <f t="shared" si="11"/>
        <v>6.9903569214292086E-3</v>
      </c>
    </row>
    <row r="51" spans="8:19" x14ac:dyDescent="0.3">
      <c r="H51" s="108">
        <v>5</v>
      </c>
      <c r="I51" s="108">
        <f t="shared" si="14"/>
        <v>35</v>
      </c>
      <c r="J51" s="108">
        <f>VLOOKUP($I51,'IALM Comparison'!$AE$4:$AJ$118,2,FALSE)</f>
        <v>1.2819999999999999E-3</v>
      </c>
      <c r="K51" s="187">
        <f>VLOOKUP($I51,'IALM Comparison'!$AE$4:$AJ$118,3,FALSE)</f>
        <v>9682.2395243515857</v>
      </c>
      <c r="L51" s="187">
        <f>VLOOKUP($I51,'IALM Comparison'!$AE$4:$AJ$118,4,FALSE)</f>
        <v>12.412631070218731</v>
      </c>
      <c r="M51" s="188">
        <f>VLOOKUP($I51,'IALM Comparison'!$AE$4:$AJ$118,5,FALSE)</f>
        <v>0.99871799999999999</v>
      </c>
      <c r="O51" s="108">
        <v>5</v>
      </c>
      <c r="P51" s="189">
        <f t="shared" si="10"/>
        <v>0.72988083652095459</v>
      </c>
      <c r="Q51" s="189">
        <f t="shared" si="12"/>
        <v>0.99437170572992473</v>
      </c>
      <c r="R51" s="189">
        <f t="shared" si="13"/>
        <v>0.72577285239092593</v>
      </c>
      <c r="S51" s="189">
        <f t="shared" si="11"/>
        <v>6.1953141768600097E-3</v>
      </c>
    </row>
    <row r="52" spans="8:19" x14ac:dyDescent="0.3">
      <c r="H52" s="108">
        <v>6</v>
      </c>
      <c r="I52" s="108">
        <f t="shared" si="14"/>
        <v>36</v>
      </c>
      <c r="J52" s="108">
        <f>VLOOKUP($I52,'IALM Comparison'!$AE$4:$AJ$118,2,FALSE)</f>
        <v>1.358E-3</v>
      </c>
      <c r="K52" s="187">
        <f>VLOOKUP($I52,'IALM Comparison'!$AE$4:$AJ$118,3,FALSE)</f>
        <v>9669.8268932813662</v>
      </c>
      <c r="L52" s="187">
        <f>VLOOKUP($I52,'IALM Comparison'!$AE$4:$AJ$118,4,FALSE)</f>
        <v>13.131624921076096</v>
      </c>
      <c r="M52" s="188">
        <f>VLOOKUP($I52,'IALM Comparison'!$AE$4:$AJ$118,5,FALSE)</f>
        <v>0.99864200000000003</v>
      </c>
      <c r="O52" s="108">
        <v>6</v>
      </c>
      <c r="P52" s="189">
        <f t="shared" si="10"/>
        <v>0.6853341187990184</v>
      </c>
      <c r="Q52" s="189">
        <f t="shared" si="12"/>
        <v>0.99309692120317894</v>
      </c>
      <c r="R52" s="189">
        <f t="shared" si="13"/>
        <v>0.68060320337479885</v>
      </c>
      <c r="S52" s="189">
        <f t="shared" si="11"/>
        <v>5.2817717367831928E-3</v>
      </c>
    </row>
    <row r="53" spans="8:19" x14ac:dyDescent="0.3">
      <c r="H53" s="108">
        <v>7</v>
      </c>
      <c r="I53" s="108">
        <f t="shared" si="14"/>
        <v>37</v>
      </c>
      <c r="J53" s="108">
        <f>VLOOKUP($I53,'IALM Comparison'!$AE$4:$AJ$118,2,FALSE)</f>
        <v>1.4469999999999999E-3</v>
      </c>
      <c r="K53" s="187">
        <f>VLOOKUP($I53,'IALM Comparison'!$AE$4:$AJ$118,3,FALSE)</f>
        <v>9656.6952683602904</v>
      </c>
      <c r="L53" s="187">
        <f>VLOOKUP($I53,'IALM Comparison'!$AE$4:$AJ$118,4,FALSE)</f>
        <v>13.97323805331734</v>
      </c>
      <c r="M53" s="188">
        <f>VLOOKUP($I53,'IALM Comparison'!$AE$4:$AJ$118,5,FALSE)</f>
        <v>0.99855300000000002</v>
      </c>
      <c r="O53" s="108">
        <v>7</v>
      </c>
      <c r="P53" s="189">
        <f t="shared" si="10"/>
        <v>0.64350621483475912</v>
      </c>
      <c r="Q53" s="189">
        <f t="shared" si="12"/>
        <v>0.99174829558418509</v>
      </c>
      <c r="R53" s="189">
        <f t="shared" si="13"/>
        <v>0.63819619176020281</v>
      </c>
      <c r="S53" s="189">
        <f t="shared" si="11"/>
        <v>4.2293902023555338E-3</v>
      </c>
    </row>
    <row r="54" spans="8:19" x14ac:dyDescent="0.3">
      <c r="H54" s="108">
        <v>8</v>
      </c>
      <c r="I54" s="108">
        <f t="shared" si="14"/>
        <v>38</v>
      </c>
      <c r="J54" s="108">
        <f>VLOOKUP($I54,'IALM Comparison'!$AE$4:$AJ$118,2,FALSE)</f>
        <v>1.549E-3</v>
      </c>
      <c r="K54" s="187">
        <f>VLOOKUP($I54,'IALM Comparison'!$AE$4:$AJ$118,3,FALSE)</f>
        <v>9642.7220303069735</v>
      </c>
      <c r="L54" s="187">
        <f>VLOOKUP($I54,'IALM Comparison'!$AE$4:$AJ$118,4,FALSE)</f>
        <v>14.936576424945502</v>
      </c>
      <c r="M54" s="188">
        <f>VLOOKUP($I54,'IALM Comparison'!$AE$4:$AJ$118,5,FALSE)</f>
        <v>0.99845099999999998</v>
      </c>
      <c r="O54" s="108">
        <v>8</v>
      </c>
      <c r="P54" s="189">
        <f t="shared" si="10"/>
        <v>0.60423118763827144</v>
      </c>
      <c r="Q54" s="189">
        <f t="shared" si="12"/>
        <v>0.99031323580047481</v>
      </c>
      <c r="R54" s="189">
        <f t="shared" si="13"/>
        <v>0.59837814260162048</v>
      </c>
      <c r="S54" s="189">
        <f t="shared" si="11"/>
        <v>3.0153766411846238E-3</v>
      </c>
    </row>
    <row r="55" spans="8:19" x14ac:dyDescent="0.3">
      <c r="H55" s="108">
        <v>9</v>
      </c>
      <c r="I55" s="108">
        <f t="shared" si="14"/>
        <v>39</v>
      </c>
      <c r="J55" s="108">
        <f>VLOOKUP($I55,'IALM Comparison'!$AE$4:$AJ$118,2,FALSE)</f>
        <v>1.6670000000000001E-3</v>
      </c>
      <c r="K55" s="187">
        <f>VLOOKUP($I55,'IALM Comparison'!$AE$4:$AJ$118,3,FALSE)</f>
        <v>9627.7854538820284</v>
      </c>
      <c r="L55" s="187">
        <f>VLOOKUP($I55,'IALM Comparison'!$AE$4:$AJ$118,4,FALSE)</f>
        <v>16.049518351621341</v>
      </c>
      <c r="M55" s="188">
        <f>VLOOKUP($I55,'IALM Comparison'!$AE$4:$AJ$118,5,FALSE)</f>
        <v>0.99833300000000003</v>
      </c>
      <c r="O55" s="108">
        <v>9</v>
      </c>
      <c r="P55" s="189">
        <f t="shared" si="10"/>
        <v>0.56735322782936282</v>
      </c>
      <c r="Q55" s="189">
        <f t="shared" si="12"/>
        <v>0.98877924059821987</v>
      </c>
      <c r="R55" s="189">
        <f t="shared" si="13"/>
        <v>0.56098709376406619</v>
      </c>
      <c r="S55" s="189">
        <f>(v^0.5)*(L55/K55)</f>
        <v>1.6153282780937716E-3</v>
      </c>
    </row>
    <row r="56" spans="8:19" x14ac:dyDescent="0.3">
      <c r="H56" s="108">
        <v>10</v>
      </c>
      <c r="I56" s="108">
        <f t="shared" si="14"/>
        <v>40</v>
      </c>
      <c r="J56" s="108">
        <f>VLOOKUP($I56,'IALM Comparison'!$AE$4:$AJ$118,2,FALSE)</f>
        <v>1.8029999999999999E-3</v>
      </c>
      <c r="K56" s="187">
        <f>VLOOKUP($I56,'IALM Comparison'!$AE$4:$AJ$118,3,FALSE)</f>
        <v>9611.735935530407</v>
      </c>
      <c r="L56" s="187">
        <f>VLOOKUP($I56,'IALM Comparison'!$AE$4:$AJ$118,4,FALSE)</f>
        <v>17.329959891761323</v>
      </c>
      <c r="M56" s="188">
        <f>VLOOKUP($I56,'IALM Comparison'!$AE$4:$AJ$118,5,FALSE)</f>
        <v>0.998197</v>
      </c>
      <c r="O56" s="108">
        <v>10</v>
      </c>
      <c r="P56" s="189">
        <v>0</v>
      </c>
      <c r="Q56" s="189">
        <f t="shared" si="12"/>
        <v>0.98713094560414261</v>
      </c>
      <c r="R56" s="189">
        <f t="shared" si="13"/>
        <v>0</v>
      </c>
      <c r="S56" s="189">
        <v>0</v>
      </c>
    </row>
    <row r="58" spans="8:19" x14ac:dyDescent="0.3">
      <c r="H58" s="229" t="s">
        <v>50</v>
      </c>
      <c r="I58" s="229"/>
      <c r="J58" s="229"/>
      <c r="K58" s="229"/>
      <c r="L58" s="229"/>
      <c r="M58" s="229"/>
    </row>
    <row r="59" spans="8:19" x14ac:dyDescent="0.3">
      <c r="H59" s="108" t="s">
        <v>40</v>
      </c>
      <c r="I59" s="108" t="s">
        <v>41</v>
      </c>
      <c r="J59" s="186"/>
      <c r="K59" s="186"/>
      <c r="L59" s="186"/>
      <c r="M59" s="186"/>
      <c r="O59" s="108" t="s">
        <v>40</v>
      </c>
      <c r="P59" s="108" t="s">
        <v>46</v>
      </c>
      <c r="Q59" s="108" t="s">
        <v>48</v>
      </c>
      <c r="R59" s="108" t="s">
        <v>47</v>
      </c>
      <c r="S59" s="108" t="s">
        <v>49</v>
      </c>
    </row>
    <row r="60" spans="8:19" x14ac:dyDescent="0.3">
      <c r="H60" s="108">
        <v>0</v>
      </c>
      <c r="I60" s="108">
        <f>F4</f>
        <v>30</v>
      </c>
      <c r="J60" s="108">
        <f>VLOOKUP($I60,'IALM Comparison'!$AL$4:$AQ$118,2,FALSE)</f>
        <v>9.77E-4</v>
      </c>
      <c r="K60" s="108">
        <f>VLOOKUP($I60,'IALM Comparison'!$AL$4:$AQ$118,3,FALSE)</f>
        <v>9820.3610066555393</v>
      </c>
      <c r="L60" s="108">
        <f>VLOOKUP($I60,'IALM Comparison'!$AL$4:$AQ$118,4,FALSE)</f>
        <v>9.5944927035024623</v>
      </c>
      <c r="M60" s="108">
        <f>VLOOKUP($I60,'IALM Comparison'!$AL$4:$AQ$118,5,FALSE)</f>
        <v>0.99902299999999999</v>
      </c>
      <c r="O60" s="108">
        <v>0</v>
      </c>
      <c r="P60" s="189">
        <f t="shared" ref="P60:P69" si="15">v^O60</f>
        <v>1</v>
      </c>
      <c r="Q60" s="189">
        <v>1</v>
      </c>
      <c r="R60" s="189">
        <f>Q60*P60</f>
        <v>1</v>
      </c>
      <c r="S60" s="189">
        <f t="shared" ref="S60:S68" si="16">(S61*v)*(M60)+(v^0.5)*(L60/K60)</f>
        <v>8.6912705269237018E-3</v>
      </c>
    </row>
    <row r="61" spans="8:19" x14ac:dyDescent="0.3">
      <c r="H61" s="108">
        <v>1</v>
      </c>
      <c r="I61" s="108">
        <f>I60+1</f>
        <v>31</v>
      </c>
      <c r="J61" s="108">
        <f>VLOOKUP($I61,'IALM Comparison'!$AL$4:$AQ$118,2,FALSE)</f>
        <v>1.005E-3</v>
      </c>
      <c r="K61" s="108">
        <f>VLOOKUP($I61,'IALM Comparison'!$AL$4:$AQ$118,3,FALSE)</f>
        <v>9810.7665139520377</v>
      </c>
      <c r="L61" s="108">
        <f>VLOOKUP($I61,'IALM Comparison'!$AL$4:$AQ$118,4,FALSE)</f>
        <v>9.8598203465217988</v>
      </c>
      <c r="M61" s="108">
        <f>VLOOKUP($I61,'IALM Comparison'!$AL$4:$AQ$118,5,FALSE)</f>
        <v>0.99899499999999997</v>
      </c>
      <c r="O61" s="108">
        <v>1</v>
      </c>
      <c r="P61" s="189">
        <f t="shared" si="15"/>
        <v>0.93896713615023475</v>
      </c>
      <c r="Q61" s="189">
        <f t="shared" ref="Q61:Q70" si="17">Q60*M60</f>
        <v>0.99902299999999999</v>
      </c>
      <c r="R61" s="189">
        <f t="shared" ref="R61:R68" si="18">Q61*P61</f>
        <v>0.93804976525821593</v>
      </c>
      <c r="S61" s="189">
        <f t="shared" si="16"/>
        <v>8.2560165999209841E-3</v>
      </c>
    </row>
    <row r="62" spans="8:19" x14ac:dyDescent="0.3">
      <c r="H62" s="108">
        <v>2</v>
      </c>
      <c r="I62" s="108">
        <f t="shared" ref="I62:I70" si="19">I61+1</f>
        <v>32</v>
      </c>
      <c r="J62" s="108">
        <f>VLOOKUP($I62,'IALM Comparison'!$AL$4:$AQ$118,2,FALSE)</f>
        <v>1.042E-3</v>
      </c>
      <c r="K62" s="108">
        <f>VLOOKUP($I62,'IALM Comparison'!$AL$4:$AQ$118,3,FALSE)</f>
        <v>9800.9066936055151</v>
      </c>
      <c r="L62" s="108">
        <f>VLOOKUP($I62,'IALM Comparison'!$AL$4:$AQ$118,4,FALSE)</f>
        <v>10.212544774736946</v>
      </c>
      <c r="M62" s="108">
        <f>VLOOKUP($I62,'IALM Comparison'!$AL$4:$AQ$118,5,FALSE)</f>
        <v>0.99895800000000001</v>
      </c>
      <c r="O62" s="108">
        <v>2</v>
      </c>
      <c r="P62" s="189">
        <f t="shared" si="15"/>
        <v>0.88165928277017347</v>
      </c>
      <c r="Q62" s="189">
        <f t="shared" si="17"/>
        <v>0.99801898188499993</v>
      </c>
      <c r="R62" s="189">
        <f t="shared" si="18"/>
        <v>0.87991269975974784</v>
      </c>
      <c r="S62" s="189">
        <f t="shared" si="16"/>
        <v>7.7633114930787403E-3</v>
      </c>
    </row>
    <row r="63" spans="8:19" x14ac:dyDescent="0.3">
      <c r="H63" s="108">
        <v>3</v>
      </c>
      <c r="I63" s="108">
        <f t="shared" si="19"/>
        <v>33</v>
      </c>
      <c r="J63" s="108">
        <f>VLOOKUP($I63,'IALM Comparison'!$AL$4:$AQ$118,2,FALSE)</f>
        <v>1.0859999999999999E-3</v>
      </c>
      <c r="K63" s="108">
        <f>VLOOKUP($I63,'IALM Comparison'!$AL$4:$AQ$118,3,FALSE)</f>
        <v>9790.6941488307784</v>
      </c>
      <c r="L63" s="108">
        <f>VLOOKUP($I63,'IALM Comparison'!$AL$4:$AQ$118,4,FALSE)</f>
        <v>10.632693845630225</v>
      </c>
      <c r="M63" s="108">
        <f>VLOOKUP($I63,'IALM Comparison'!$AL$4:$AQ$118,5,FALSE)</f>
        <v>0.99891399999999997</v>
      </c>
      <c r="O63" s="108">
        <v>3</v>
      </c>
      <c r="P63" s="189">
        <f t="shared" si="15"/>
        <v>0.82784909180297983</v>
      </c>
      <c r="Q63" s="189">
        <f t="shared" si="17"/>
        <v>0.99697904610587573</v>
      </c>
      <c r="R63" s="189">
        <f t="shared" si="18"/>
        <v>0.82534819786535041</v>
      </c>
      <c r="S63" s="189">
        <f t="shared" si="16"/>
        <v>7.2000973579231442E-3</v>
      </c>
    </row>
    <row r="64" spans="8:19" x14ac:dyDescent="0.3">
      <c r="H64" s="108">
        <v>4</v>
      </c>
      <c r="I64" s="108">
        <f t="shared" si="19"/>
        <v>34</v>
      </c>
      <c r="J64" s="108">
        <f>VLOOKUP($I64,'IALM Comparison'!$AL$4:$AQ$118,2,FALSE)</f>
        <v>1.14E-3</v>
      </c>
      <c r="K64" s="108">
        <f>VLOOKUP($I64,'IALM Comparison'!$AL$4:$AQ$118,3,FALSE)</f>
        <v>9780.0614549851489</v>
      </c>
      <c r="L64" s="108">
        <f>VLOOKUP($I64,'IALM Comparison'!$AL$4:$AQ$118,4,FALSE)</f>
        <v>11.149270058683069</v>
      </c>
      <c r="M64" s="108">
        <f>VLOOKUP($I64,'IALM Comparison'!$AL$4:$AQ$118,5,FALSE)</f>
        <v>0.99885999999999997</v>
      </c>
      <c r="O64" s="108">
        <v>4</v>
      </c>
      <c r="P64" s="189">
        <f t="shared" si="15"/>
        <v>0.77732309089481666</v>
      </c>
      <c r="Q64" s="189">
        <f t="shared" si="17"/>
        <v>0.99589632686180474</v>
      </c>
      <c r="R64" s="189">
        <f t="shared" si="18"/>
        <v>0.77413321100701271</v>
      </c>
      <c r="S64" s="189">
        <f t="shared" si="16"/>
        <v>6.5544824821418745E-3</v>
      </c>
    </row>
    <row r="65" spans="8:19" x14ac:dyDescent="0.3">
      <c r="H65" s="108">
        <v>5</v>
      </c>
      <c r="I65" s="108">
        <f t="shared" si="19"/>
        <v>35</v>
      </c>
      <c r="J65" s="108">
        <f>VLOOKUP($I65,'IALM Comparison'!$AL$4:$AQ$118,2,FALSE)</f>
        <v>1.2019999999999999E-3</v>
      </c>
      <c r="K65" s="108">
        <f>VLOOKUP($I65,'IALM Comparison'!$AL$4:$AQ$118,3,FALSE)</f>
        <v>9768.9121849264666</v>
      </c>
      <c r="L65" s="108">
        <f>VLOOKUP($I65,'IALM Comparison'!$AL$4:$AQ$118,4,FALSE)</f>
        <v>11.742232446281612</v>
      </c>
      <c r="M65" s="108">
        <f>VLOOKUP($I65,'IALM Comparison'!$AL$4:$AQ$118,5,FALSE)</f>
        <v>0.99879799999999996</v>
      </c>
      <c r="O65" s="108">
        <v>5</v>
      </c>
      <c r="P65" s="189">
        <f t="shared" si="15"/>
        <v>0.72988083652095459</v>
      </c>
      <c r="Q65" s="189">
        <f t="shared" si="17"/>
        <v>0.9947610050491823</v>
      </c>
      <c r="R65" s="189">
        <f t="shared" si="18"/>
        <v>0.72605699450372274</v>
      </c>
      <c r="S65" s="189">
        <f t="shared" si="16"/>
        <v>5.8106812760243976E-3</v>
      </c>
    </row>
    <row r="66" spans="8:19" x14ac:dyDescent="0.3">
      <c r="H66" s="108">
        <v>6</v>
      </c>
      <c r="I66" s="108">
        <f t="shared" si="19"/>
        <v>36</v>
      </c>
      <c r="J66" s="108">
        <f>VLOOKUP($I66,'IALM Comparison'!$AL$4:$AQ$118,2,FALSE)</f>
        <v>1.2750000000000001E-3</v>
      </c>
      <c r="K66" s="108">
        <f>VLOOKUP($I66,'IALM Comparison'!$AL$4:$AQ$118,3,FALSE)</f>
        <v>9757.1699524801843</v>
      </c>
      <c r="L66" s="108">
        <f>VLOOKUP($I66,'IALM Comparison'!$AL$4:$AQ$118,4,FALSE)</f>
        <v>12.440391689412236</v>
      </c>
      <c r="M66" s="108">
        <f>VLOOKUP($I66,'IALM Comparison'!$AL$4:$AQ$118,5,FALSE)</f>
        <v>0.99872499999999997</v>
      </c>
      <c r="O66" s="108">
        <v>6</v>
      </c>
      <c r="P66" s="189">
        <f t="shared" si="15"/>
        <v>0.6853341187990184</v>
      </c>
      <c r="Q66" s="189">
        <f t="shared" si="17"/>
        <v>0.99356530232111318</v>
      </c>
      <c r="R66" s="189">
        <f t="shared" si="18"/>
        <v>0.68092420093552042</v>
      </c>
      <c r="S66" s="189">
        <f t="shared" si="16"/>
        <v>4.9538800996687133E-3</v>
      </c>
    </row>
    <row r="67" spans="8:19" x14ac:dyDescent="0.3">
      <c r="H67" s="108">
        <v>7</v>
      </c>
      <c r="I67" s="108">
        <f t="shared" si="19"/>
        <v>37</v>
      </c>
      <c r="J67" s="108">
        <f>VLOOKUP($I67,'IALM Comparison'!$AL$4:$AQ$118,2,FALSE)</f>
        <v>1.358E-3</v>
      </c>
      <c r="K67" s="108">
        <f>VLOOKUP($I67,'IALM Comparison'!$AL$4:$AQ$118,3,FALSE)</f>
        <v>9744.7295607907727</v>
      </c>
      <c r="L67" s="108">
        <f>VLOOKUP($I67,'IALM Comparison'!$AL$4:$AQ$118,4,FALSE)</f>
        <v>13.23334274355387</v>
      </c>
      <c r="M67" s="108">
        <f>VLOOKUP($I67,'IALM Comparison'!$AL$4:$AQ$118,5,FALSE)</f>
        <v>0.99864200000000003</v>
      </c>
      <c r="O67" s="108">
        <v>7</v>
      </c>
      <c r="P67" s="189">
        <f t="shared" si="15"/>
        <v>0.64350621483475912</v>
      </c>
      <c r="Q67" s="189">
        <f t="shared" si="17"/>
        <v>0.99229850656065377</v>
      </c>
      <c r="R67" s="189">
        <f t="shared" si="18"/>
        <v>0.63855025594303072</v>
      </c>
      <c r="S67" s="189">
        <f t="shared" si="16"/>
        <v>3.9651527015065191E-3</v>
      </c>
    </row>
    <row r="68" spans="8:19" x14ac:dyDescent="0.3">
      <c r="H68" s="108">
        <v>8</v>
      </c>
      <c r="I68" s="108">
        <f t="shared" si="19"/>
        <v>38</v>
      </c>
      <c r="J68" s="108">
        <f>VLOOKUP($I68,'IALM Comparison'!$AL$4:$AQ$118,2,FALSE)</f>
        <v>1.4530000000000001E-3</v>
      </c>
      <c r="K68" s="108">
        <f>VLOOKUP($I68,'IALM Comparison'!$AL$4:$AQ$118,3,FALSE)</f>
        <v>9731.4962180472194</v>
      </c>
      <c r="L68" s="108">
        <f>VLOOKUP($I68,'IALM Comparison'!$AL$4:$AQ$118,4,FALSE)</f>
        <v>14.139864004822611</v>
      </c>
      <c r="M68" s="108">
        <f>VLOOKUP($I68,'IALM Comparison'!$AL$4:$AQ$118,5,FALSE)</f>
        <v>0.99854699999999996</v>
      </c>
      <c r="O68" s="108">
        <v>8</v>
      </c>
      <c r="P68" s="189">
        <f t="shared" si="15"/>
        <v>0.60423118763827144</v>
      </c>
      <c r="Q68" s="189">
        <f t="shared" si="17"/>
        <v>0.99095096518874448</v>
      </c>
      <c r="R68" s="189">
        <f t="shared" si="18"/>
        <v>0.5987634785872864</v>
      </c>
      <c r="S68" s="189">
        <f t="shared" si="16"/>
        <v>2.8252841537718997E-3</v>
      </c>
    </row>
    <row r="69" spans="8:19" x14ac:dyDescent="0.3">
      <c r="H69" s="108">
        <v>9</v>
      </c>
      <c r="I69" s="108">
        <f t="shared" si="19"/>
        <v>39</v>
      </c>
      <c r="J69" s="108">
        <f>VLOOKUP($I69,'IALM Comparison'!$AL$4:$AQ$118,2,FALSE)</f>
        <v>1.56E-3</v>
      </c>
      <c r="K69" s="108">
        <f>VLOOKUP($I69,'IALM Comparison'!$AL$4:$AQ$118,3,FALSE)</f>
        <v>9717.3563540423966</v>
      </c>
      <c r="L69" s="108">
        <f>VLOOKUP($I69,'IALM Comparison'!$AL$4:$AQ$118,4,FALSE)</f>
        <v>15.159075912306138</v>
      </c>
      <c r="M69" s="108">
        <f>VLOOKUP($I69,'IALM Comparison'!$AL$4:$AQ$118,5,FALSE)</f>
        <v>0.99843999999999999</v>
      </c>
      <c r="O69" s="108">
        <v>9</v>
      </c>
      <c r="P69" s="189">
        <f t="shared" si="15"/>
        <v>0.56735322782936282</v>
      </c>
      <c r="Q69" s="189">
        <f t="shared" si="17"/>
        <v>0.98951111343632525</v>
      </c>
      <c r="R69" s="189">
        <f>Q69*P69</f>
        <v>0.5614023241811259</v>
      </c>
      <c r="S69" s="189">
        <f>(v^0.5)*(L69/K69)</f>
        <v>1.5116449393079087E-3</v>
      </c>
    </row>
    <row r="70" spans="8:19" x14ac:dyDescent="0.3">
      <c r="H70" s="108">
        <v>10</v>
      </c>
      <c r="I70" s="108">
        <f t="shared" si="19"/>
        <v>40</v>
      </c>
      <c r="J70" s="108">
        <f>VLOOKUP($I70,'IALM Comparison'!$AL$4:$AQ$118,2,FALSE)</f>
        <v>1.6800000000000001E-3</v>
      </c>
      <c r="K70" s="108">
        <f>VLOOKUP($I70,'IALM Comparison'!$AL$4:$AQ$118,3,FALSE)</f>
        <v>9702.1972781300901</v>
      </c>
      <c r="L70" s="108">
        <f>VLOOKUP($I70,'IALM Comparison'!$AL$4:$AQ$118,4,FALSE)</f>
        <v>16.299691427258551</v>
      </c>
      <c r="M70" s="108">
        <f>VLOOKUP($I70,'IALM Comparison'!$AL$4:$AQ$118,5,FALSE)</f>
        <v>0.99831999999999999</v>
      </c>
      <c r="O70" s="108">
        <v>10</v>
      </c>
      <c r="P70" s="189">
        <v>0</v>
      </c>
      <c r="Q70" s="189">
        <f t="shared" si="17"/>
        <v>0.98796747609936453</v>
      </c>
      <c r="R70" s="189">
        <f>Q70*P70</f>
        <v>0</v>
      </c>
      <c r="S70" s="189">
        <v>0</v>
      </c>
    </row>
    <row r="73" spans="8:19" x14ac:dyDescent="0.3">
      <c r="I73" s="226" t="s">
        <v>54</v>
      </c>
      <c r="J73" s="226"/>
    </row>
    <row r="74" spans="8:19" x14ac:dyDescent="0.3">
      <c r="I74" s="227"/>
      <c r="J74" s="227"/>
    </row>
    <row r="76" spans="8:19" x14ac:dyDescent="0.3">
      <c r="H76" s="225" t="s">
        <v>43</v>
      </c>
      <c r="I76" s="225"/>
      <c r="J76" s="225"/>
      <c r="K76" s="225"/>
      <c r="L76" s="225"/>
      <c r="M76" s="225"/>
    </row>
    <row r="77" spans="8:19" x14ac:dyDescent="0.3">
      <c r="H77" s="116" t="s">
        <v>40</v>
      </c>
      <c r="I77" s="116" t="s">
        <v>41</v>
      </c>
      <c r="J77" s="192"/>
      <c r="K77" s="192"/>
      <c r="L77" s="192"/>
      <c r="M77" s="192"/>
      <c r="O77" s="116" t="s">
        <v>40</v>
      </c>
      <c r="P77" s="116" t="s">
        <v>46</v>
      </c>
      <c r="Q77" s="116" t="s">
        <v>48</v>
      </c>
      <c r="R77" s="116" t="s">
        <v>47</v>
      </c>
      <c r="S77" s="116" t="s">
        <v>49</v>
      </c>
    </row>
    <row r="78" spans="8:19" x14ac:dyDescent="0.3">
      <c r="H78" s="116">
        <v>0</v>
      </c>
      <c r="I78" s="116">
        <f>F5</f>
        <v>35</v>
      </c>
      <c r="J78" s="116">
        <f>VLOOKUP($I78,'IALM Comparison'!$AE$4:$AJ$118,2,FALSE)</f>
        <v>1.2819999999999999E-3</v>
      </c>
      <c r="K78" s="193">
        <f>VLOOKUP($I78,'IALM Comparison'!$AE$4:$AJ$118,3,FALSE)</f>
        <v>9682.2395243515857</v>
      </c>
      <c r="L78" s="193">
        <f>VLOOKUP($I78,'IALM Comparison'!$AE$4:$AJ$118,4,FALSE)</f>
        <v>12.412631070218731</v>
      </c>
      <c r="M78" s="194">
        <f>VLOOKUP($I78,'IALM Comparison'!$AE$4:$AJ$118,5,FALSE)</f>
        <v>0.99871799999999999</v>
      </c>
      <c r="O78" s="116">
        <v>0</v>
      </c>
      <c r="P78" s="195">
        <f t="shared" ref="P78:P87" si="20">v^O78</f>
        <v>1</v>
      </c>
      <c r="Q78" s="195">
        <v>1</v>
      </c>
      <c r="R78" s="195">
        <f>Q78*P78</f>
        <v>1</v>
      </c>
      <c r="S78" s="195">
        <f t="shared" ref="S78:S86" si="21">(S79*v)*(M78)+(v^0.5)*(L78/K78)</f>
        <v>1.2831474975998054E-2</v>
      </c>
    </row>
    <row r="79" spans="8:19" x14ac:dyDescent="0.3">
      <c r="H79" s="116">
        <v>1</v>
      </c>
      <c r="I79" s="116">
        <f>I78+1</f>
        <v>36</v>
      </c>
      <c r="J79" s="116">
        <f>VLOOKUP($I79,'IALM Comparison'!$AE$4:$AJ$118,2,FALSE)</f>
        <v>1.358E-3</v>
      </c>
      <c r="K79" s="193">
        <f>VLOOKUP($I79,'IALM Comparison'!$AE$4:$AJ$118,3,FALSE)</f>
        <v>9669.8268932813662</v>
      </c>
      <c r="L79" s="193">
        <f>VLOOKUP($I79,'IALM Comparison'!$AE$4:$AJ$118,4,FALSE)</f>
        <v>13.131624921076096</v>
      </c>
      <c r="M79" s="194">
        <f>VLOOKUP($I79,'IALM Comparison'!$AE$4:$AJ$118,5,FALSE)</f>
        <v>0.99864200000000003</v>
      </c>
      <c r="O79" s="116">
        <v>1</v>
      </c>
      <c r="P79" s="195">
        <f t="shared" si="20"/>
        <v>0.93896713615023475</v>
      </c>
      <c r="Q79" s="195">
        <f t="shared" ref="Q79:Q88" si="22">Q78*M78</f>
        <v>0.99871799999999999</v>
      </c>
      <c r="R79" s="195">
        <f t="shared" ref="R79:R88" si="23">Q79*P79</f>
        <v>0.93776338028169015</v>
      </c>
      <c r="S79" s="195">
        <f t="shared" si="21"/>
        <v>1.2358355167823803E-2</v>
      </c>
    </row>
    <row r="80" spans="8:19" x14ac:dyDescent="0.3">
      <c r="H80" s="116">
        <v>2</v>
      </c>
      <c r="I80" s="116">
        <f t="shared" ref="I80:I88" si="24">I79+1</f>
        <v>37</v>
      </c>
      <c r="J80" s="116">
        <f>VLOOKUP($I80,'IALM Comparison'!$AE$4:$AJ$118,2,FALSE)</f>
        <v>1.4469999999999999E-3</v>
      </c>
      <c r="K80" s="193">
        <f>VLOOKUP($I80,'IALM Comparison'!$AE$4:$AJ$118,3,FALSE)</f>
        <v>9656.6952683602904</v>
      </c>
      <c r="L80" s="193">
        <f>VLOOKUP($I80,'IALM Comparison'!$AE$4:$AJ$118,4,FALSE)</f>
        <v>13.97323805331734</v>
      </c>
      <c r="M80" s="194">
        <f>VLOOKUP($I80,'IALM Comparison'!$AE$4:$AJ$118,5,FALSE)</f>
        <v>0.99855300000000002</v>
      </c>
      <c r="O80" s="116">
        <v>2</v>
      </c>
      <c r="P80" s="195">
        <f t="shared" si="20"/>
        <v>0.88165928277017347</v>
      </c>
      <c r="Q80" s="195">
        <f t="shared" si="22"/>
        <v>0.99736174095600005</v>
      </c>
      <c r="R80" s="195">
        <f t="shared" si="23"/>
        <v>0.87933323719367851</v>
      </c>
      <c r="S80" s="195">
        <f t="shared" si="21"/>
        <v>1.1776200124287768E-2</v>
      </c>
    </row>
    <row r="81" spans="8:19" x14ac:dyDescent="0.3">
      <c r="H81" s="116">
        <v>3</v>
      </c>
      <c r="I81" s="116">
        <f t="shared" si="24"/>
        <v>38</v>
      </c>
      <c r="J81" s="116">
        <f>VLOOKUP($I81,'IALM Comparison'!$AE$4:$AJ$118,2,FALSE)</f>
        <v>1.549E-3</v>
      </c>
      <c r="K81" s="193">
        <f>VLOOKUP($I81,'IALM Comparison'!$AE$4:$AJ$118,3,FALSE)</f>
        <v>9642.7220303069735</v>
      </c>
      <c r="L81" s="193">
        <f>VLOOKUP($I81,'IALM Comparison'!$AE$4:$AJ$118,4,FALSE)</f>
        <v>14.936576424945502</v>
      </c>
      <c r="M81" s="194">
        <f>VLOOKUP($I81,'IALM Comparison'!$AE$4:$AJ$118,5,FALSE)</f>
        <v>0.99845099999999998</v>
      </c>
      <c r="O81" s="116">
        <v>3</v>
      </c>
      <c r="P81" s="195">
        <f t="shared" si="20"/>
        <v>0.82784909180297983</v>
      </c>
      <c r="Q81" s="195">
        <f t="shared" si="22"/>
        <v>0.99591855851683675</v>
      </c>
      <c r="R81" s="195">
        <f t="shared" si="23"/>
        <v>0.82447027417789609</v>
      </c>
      <c r="S81" s="195">
        <f t="shared" si="21"/>
        <v>1.1064376110274225E-2</v>
      </c>
    </row>
    <row r="82" spans="8:19" x14ac:dyDescent="0.3">
      <c r="H82" s="116">
        <v>4</v>
      </c>
      <c r="I82" s="116">
        <f t="shared" si="24"/>
        <v>39</v>
      </c>
      <c r="J82" s="116">
        <f>VLOOKUP($I82,'IALM Comparison'!$AE$4:$AJ$118,2,FALSE)</f>
        <v>1.6670000000000001E-3</v>
      </c>
      <c r="K82" s="193">
        <f>VLOOKUP($I82,'IALM Comparison'!$AE$4:$AJ$118,3,FALSE)</f>
        <v>9627.7854538820284</v>
      </c>
      <c r="L82" s="193">
        <f>VLOOKUP($I82,'IALM Comparison'!$AE$4:$AJ$118,4,FALSE)</f>
        <v>16.049518351621341</v>
      </c>
      <c r="M82" s="194">
        <f>VLOOKUP($I82,'IALM Comparison'!$AE$4:$AJ$118,5,FALSE)</f>
        <v>0.99833300000000003</v>
      </c>
      <c r="O82" s="116">
        <v>4</v>
      </c>
      <c r="P82" s="195">
        <f t="shared" si="20"/>
        <v>0.77732309089481666</v>
      </c>
      <c r="Q82" s="195">
        <f t="shared" si="22"/>
        <v>0.99437588066969418</v>
      </c>
      <c r="R82" s="195">
        <f t="shared" si="23"/>
        <v>0.77295133307342201</v>
      </c>
      <c r="S82" s="195">
        <f t="shared" si="21"/>
        <v>1.0200811626380694E-2</v>
      </c>
    </row>
    <row r="83" spans="8:19" x14ac:dyDescent="0.3">
      <c r="H83" s="116">
        <v>5</v>
      </c>
      <c r="I83" s="116">
        <f t="shared" si="24"/>
        <v>40</v>
      </c>
      <c r="J83" s="116">
        <f>VLOOKUP($I83,'IALM Comparison'!$AE$4:$AJ$118,2,FALSE)</f>
        <v>1.8029999999999999E-3</v>
      </c>
      <c r="K83" s="193">
        <f>VLOOKUP($I83,'IALM Comparison'!$AE$4:$AJ$118,3,FALSE)</f>
        <v>9611.735935530407</v>
      </c>
      <c r="L83" s="193">
        <f>VLOOKUP($I83,'IALM Comparison'!$AE$4:$AJ$118,4,FALSE)</f>
        <v>17.329959891761323</v>
      </c>
      <c r="M83" s="194">
        <f>VLOOKUP($I83,'IALM Comparison'!$AE$4:$AJ$118,5,FALSE)</f>
        <v>0.998197</v>
      </c>
      <c r="O83" s="116">
        <v>5</v>
      </c>
      <c r="P83" s="195">
        <f t="shared" si="20"/>
        <v>0.72988083652095459</v>
      </c>
      <c r="Q83" s="195">
        <f t="shared" si="22"/>
        <v>0.99271825607661779</v>
      </c>
      <c r="R83" s="195">
        <f t="shared" si="23"/>
        <v>0.72456603117482499</v>
      </c>
      <c r="S83" s="195">
        <f t="shared" si="21"/>
        <v>9.1588074980247808E-3</v>
      </c>
    </row>
    <row r="84" spans="8:19" x14ac:dyDescent="0.3">
      <c r="H84" s="116">
        <v>6</v>
      </c>
      <c r="I84" s="116">
        <f t="shared" si="24"/>
        <v>41</v>
      </c>
      <c r="J84" s="116">
        <f>VLOOKUP($I84,'IALM Comparison'!$AE$4:$AJ$118,2,FALSE)</f>
        <v>1.9589999999999998E-3</v>
      </c>
      <c r="K84" s="193">
        <f>VLOOKUP($I84,'IALM Comparison'!$AE$4:$AJ$118,3,FALSE)</f>
        <v>9594.405975638645</v>
      </c>
      <c r="L84" s="193">
        <f>VLOOKUP($I84,'IALM Comparison'!$AE$4:$AJ$118,4,FALSE)</f>
        <v>18.795441306276103</v>
      </c>
      <c r="M84" s="194">
        <f>VLOOKUP($I84,'IALM Comparison'!$AE$4:$AJ$118,5,FALSE)</f>
        <v>0.99804099999999996</v>
      </c>
      <c r="O84" s="116">
        <v>6</v>
      </c>
      <c r="P84" s="195">
        <f t="shared" si="20"/>
        <v>0.6853341187990184</v>
      </c>
      <c r="Q84" s="195">
        <f t="shared" si="22"/>
        <v>0.99092838506091163</v>
      </c>
      <c r="R84" s="195">
        <f t="shared" si="23"/>
        <v>0.67911703156865422</v>
      </c>
      <c r="S84" s="195">
        <f t="shared" si="21"/>
        <v>7.9077125563699179E-3</v>
      </c>
    </row>
    <row r="85" spans="8:19" x14ac:dyDescent="0.3">
      <c r="H85" s="116">
        <v>7</v>
      </c>
      <c r="I85" s="116">
        <f t="shared" si="24"/>
        <v>42</v>
      </c>
      <c r="J85" s="116">
        <f>VLOOKUP($I85,'IALM Comparison'!$AE$4:$AJ$118,2,FALSE)</f>
        <v>2.14E-3</v>
      </c>
      <c r="K85" s="193">
        <f>VLOOKUP($I85,'IALM Comparison'!$AE$4:$AJ$118,3,FALSE)</f>
        <v>9575.6105343323688</v>
      </c>
      <c r="L85" s="193">
        <f>VLOOKUP($I85,'IALM Comparison'!$AE$4:$AJ$118,4,FALSE)</f>
        <v>20.49180654347127</v>
      </c>
      <c r="M85" s="194">
        <f>VLOOKUP($I85,'IALM Comparison'!$AE$4:$AJ$118,5,FALSE)</f>
        <v>0.99785999999999997</v>
      </c>
      <c r="O85" s="116">
        <v>7</v>
      </c>
      <c r="P85" s="195">
        <f t="shared" si="20"/>
        <v>0.64350621483475912</v>
      </c>
      <c r="Q85" s="195">
        <f t="shared" si="22"/>
        <v>0.98898715635457723</v>
      </c>
      <c r="R85" s="195">
        <f t="shared" si="23"/>
        <v>0.63641938150592603</v>
      </c>
      <c r="S85" s="195">
        <f t="shared" si="21"/>
        <v>6.4126109565960342E-3</v>
      </c>
    </row>
    <row r="86" spans="8:19" x14ac:dyDescent="0.3">
      <c r="H86" s="116">
        <v>8</v>
      </c>
      <c r="I86" s="116">
        <f t="shared" si="24"/>
        <v>43</v>
      </c>
      <c r="J86" s="116">
        <f>VLOOKUP($I86,'IALM Comparison'!$AE$4:$AJ$118,2,FALSE)</f>
        <v>2.3500000000000001E-3</v>
      </c>
      <c r="K86" s="193">
        <f>VLOOKUP($I86,'IALM Comparison'!$AE$4:$AJ$118,3,FALSE)</f>
        <v>9555.1187277888985</v>
      </c>
      <c r="L86" s="193">
        <f>VLOOKUP($I86,'IALM Comparison'!$AE$4:$AJ$118,4,FALSE)</f>
        <v>22.454529010303911</v>
      </c>
      <c r="M86" s="194">
        <f>VLOOKUP($I86,'IALM Comparison'!$AE$4:$AJ$118,5,FALSE)</f>
        <v>0.99765000000000004</v>
      </c>
      <c r="O86" s="116">
        <v>8</v>
      </c>
      <c r="P86" s="195">
        <f t="shared" si="20"/>
        <v>0.60423118763827144</v>
      </c>
      <c r="Q86" s="195">
        <f t="shared" si="22"/>
        <v>0.98687072383997843</v>
      </c>
      <c r="R86" s="195">
        <f t="shared" si="23"/>
        <v>0.59629806951127073</v>
      </c>
      <c r="S86" s="195">
        <f t="shared" si="21"/>
        <v>4.6308856479224487E-3</v>
      </c>
    </row>
    <row r="87" spans="8:19" x14ac:dyDescent="0.3">
      <c r="H87" s="116">
        <v>9</v>
      </c>
      <c r="I87" s="116">
        <f t="shared" si="24"/>
        <v>44</v>
      </c>
      <c r="J87" s="116">
        <f>VLOOKUP($I87,'IALM Comparison'!$AE$4:$AJ$118,2,FALSE)</f>
        <v>2.5929999999999998E-3</v>
      </c>
      <c r="K87" s="193">
        <f>VLOOKUP($I87,'IALM Comparison'!$AE$4:$AJ$118,3,FALSE)</f>
        <v>9532.6641987785952</v>
      </c>
      <c r="L87" s="193">
        <f>VLOOKUP($I87,'IALM Comparison'!$AE$4:$AJ$118,4,FALSE)</f>
        <v>24.718198267432896</v>
      </c>
      <c r="M87" s="194">
        <f>VLOOKUP($I87,'IALM Comparison'!$AE$4:$AJ$118,5,FALSE)</f>
        <v>0.99740700000000004</v>
      </c>
      <c r="O87" s="116">
        <v>9</v>
      </c>
      <c r="P87" s="195">
        <f t="shared" si="20"/>
        <v>0.56735322782936282</v>
      </c>
      <c r="Q87" s="195">
        <f t="shared" si="22"/>
        <v>0.98455157763895451</v>
      </c>
      <c r="R87" s="195">
        <f t="shared" si="23"/>
        <v>0.5585885155379523</v>
      </c>
      <c r="S87" s="195">
        <f>(v^0.5)*(L87/K87)</f>
        <v>2.5126252100162866E-3</v>
      </c>
    </row>
    <row r="88" spans="8:19" x14ac:dyDescent="0.3">
      <c r="H88" s="116">
        <v>10</v>
      </c>
      <c r="I88" s="116">
        <f t="shared" si="24"/>
        <v>45</v>
      </c>
      <c r="J88" s="116">
        <f>VLOOKUP($I88,'IALM Comparison'!$AE$4:$AJ$118,2,FALSE)</f>
        <v>2.8739999999999998E-3</v>
      </c>
      <c r="K88" s="193">
        <f>VLOOKUP($I88,'IALM Comparison'!$AE$4:$AJ$118,3,FALSE)</f>
        <v>9507.9460005111614</v>
      </c>
      <c r="L88" s="193">
        <f>VLOOKUP($I88,'IALM Comparison'!$AE$4:$AJ$118,4,FALSE)</f>
        <v>27.325836805469077</v>
      </c>
      <c r="M88" s="194">
        <f>VLOOKUP($I88,'IALM Comparison'!$AE$4:$AJ$118,5,FALSE)</f>
        <v>0.99712599999999996</v>
      </c>
      <c r="O88" s="116">
        <v>10</v>
      </c>
      <c r="P88" s="195">
        <v>0</v>
      </c>
      <c r="Q88" s="195">
        <f t="shared" si="22"/>
        <v>0.9819986353981367</v>
      </c>
      <c r="R88" s="195">
        <f t="shared" si="23"/>
        <v>0</v>
      </c>
      <c r="S88" s="195">
        <v>0</v>
      </c>
    </row>
    <row r="90" spans="8:19" x14ac:dyDescent="0.3">
      <c r="H90" s="225" t="s">
        <v>50</v>
      </c>
      <c r="I90" s="225"/>
      <c r="J90" s="225"/>
      <c r="K90" s="225"/>
      <c r="L90" s="225"/>
      <c r="M90" s="225"/>
    </row>
    <row r="91" spans="8:19" x14ac:dyDescent="0.3">
      <c r="H91" s="116" t="s">
        <v>40</v>
      </c>
      <c r="I91" s="116" t="s">
        <v>41</v>
      </c>
      <c r="J91" s="192"/>
      <c r="K91" s="192"/>
      <c r="L91" s="192"/>
      <c r="M91" s="192"/>
      <c r="O91" s="116" t="s">
        <v>40</v>
      </c>
      <c r="P91" s="116" t="s">
        <v>46</v>
      </c>
      <c r="Q91" s="116" t="s">
        <v>48</v>
      </c>
      <c r="R91" s="116" t="s">
        <v>47</v>
      </c>
      <c r="S91" s="116" t="s">
        <v>49</v>
      </c>
    </row>
    <row r="92" spans="8:19" x14ac:dyDescent="0.3">
      <c r="H92" s="116">
        <v>0</v>
      </c>
      <c r="I92" s="116">
        <f>F5</f>
        <v>35</v>
      </c>
      <c r="J92" s="116">
        <f>VLOOKUP($I92,'IALM Comparison'!$AL$4:$AQ$118,2,FALSE)</f>
        <v>1.2019999999999999E-3</v>
      </c>
      <c r="K92" s="116">
        <f>VLOOKUP($I92,'IALM Comparison'!$AL$4:$AQ$118,3,FALSE)</f>
        <v>9768.9121849264666</v>
      </c>
      <c r="L92" s="116">
        <f>VLOOKUP($I92,'IALM Comparison'!$AL$4:$AQ$118,4,FALSE)</f>
        <v>11.742232446281612</v>
      </c>
      <c r="M92" s="116">
        <f>VLOOKUP($I92,'IALM Comparison'!$AL$4:$AQ$118,5,FALSE)</f>
        <v>0.99879799999999996</v>
      </c>
      <c r="O92" s="116">
        <v>0</v>
      </c>
      <c r="P92" s="195">
        <f t="shared" ref="P92:P101" si="25">v^O92</f>
        <v>1</v>
      </c>
      <c r="Q92" s="195">
        <v>1</v>
      </c>
      <c r="R92" s="195">
        <f>Q92*P92</f>
        <v>1</v>
      </c>
      <c r="S92" s="195">
        <f t="shared" ref="S92:S100" si="26">(S93*v)*(M92)+(v^0.5)*(L92/K92)</f>
        <v>1.1911615555327817E-2</v>
      </c>
    </row>
    <row r="93" spans="8:19" x14ac:dyDescent="0.3">
      <c r="H93" s="116">
        <v>1</v>
      </c>
      <c r="I93" s="116">
        <f>I92+1</f>
        <v>36</v>
      </c>
      <c r="J93" s="116">
        <f>VLOOKUP($I93,'IALM Comparison'!$AL$4:$AQ$118,2,FALSE)</f>
        <v>1.2750000000000001E-3</v>
      </c>
      <c r="K93" s="116">
        <f>VLOOKUP($I93,'IALM Comparison'!$AL$4:$AQ$118,3,FALSE)</f>
        <v>9757.1699524801843</v>
      </c>
      <c r="L93" s="116">
        <f>VLOOKUP($I93,'IALM Comparison'!$AL$4:$AQ$118,4,FALSE)</f>
        <v>12.440391689412236</v>
      </c>
      <c r="M93" s="116">
        <f>VLOOKUP($I93,'IALM Comparison'!$AL$4:$AQ$118,5,FALSE)</f>
        <v>0.99872499999999997</v>
      </c>
      <c r="O93" s="116">
        <v>1</v>
      </c>
      <c r="P93" s="195">
        <f t="shared" si="25"/>
        <v>0.93896713615023475</v>
      </c>
      <c r="Q93" s="195">
        <f t="shared" ref="Q93:Q102" si="27">Q92*M92</f>
        <v>0.99879799999999996</v>
      </c>
      <c r="R93" s="195">
        <f t="shared" ref="R93:R100" si="28">Q93*P93</f>
        <v>0.93783849765258209</v>
      </c>
      <c r="S93" s="195">
        <f t="shared" si="26"/>
        <v>1.145919449503008E-2</v>
      </c>
    </row>
    <row r="94" spans="8:19" x14ac:dyDescent="0.3">
      <c r="H94" s="116">
        <v>2</v>
      </c>
      <c r="I94" s="116">
        <f t="shared" ref="I94:I102" si="29">I93+1</f>
        <v>37</v>
      </c>
      <c r="J94" s="116">
        <f>VLOOKUP($I94,'IALM Comparison'!$AL$4:$AQ$118,2,FALSE)</f>
        <v>1.358E-3</v>
      </c>
      <c r="K94" s="116">
        <f>VLOOKUP($I94,'IALM Comparison'!$AL$4:$AQ$118,3,FALSE)</f>
        <v>9744.7295607907727</v>
      </c>
      <c r="L94" s="116">
        <f>VLOOKUP($I94,'IALM Comparison'!$AL$4:$AQ$118,4,FALSE)</f>
        <v>13.23334274355387</v>
      </c>
      <c r="M94" s="116">
        <f>VLOOKUP($I94,'IALM Comparison'!$AL$4:$AQ$118,5,FALSE)</f>
        <v>0.99864200000000003</v>
      </c>
      <c r="O94" s="116">
        <v>2</v>
      </c>
      <c r="P94" s="195">
        <f t="shared" si="25"/>
        <v>0.88165928277017347</v>
      </c>
      <c r="Q94" s="195">
        <f t="shared" si="27"/>
        <v>0.99752453254999995</v>
      </c>
      <c r="R94" s="195">
        <f t="shared" si="28"/>
        <v>0.87947676391368557</v>
      </c>
      <c r="S94" s="195">
        <f t="shared" si="26"/>
        <v>1.0902157213318935E-2</v>
      </c>
    </row>
    <row r="95" spans="8:19" x14ac:dyDescent="0.3">
      <c r="H95" s="116">
        <v>3</v>
      </c>
      <c r="I95" s="116">
        <f t="shared" si="29"/>
        <v>38</v>
      </c>
      <c r="J95" s="116">
        <f>VLOOKUP($I95,'IALM Comparison'!$AL$4:$AQ$118,2,FALSE)</f>
        <v>1.4530000000000001E-3</v>
      </c>
      <c r="K95" s="116">
        <f>VLOOKUP($I95,'IALM Comparison'!$AL$4:$AQ$118,3,FALSE)</f>
        <v>9731.4962180472194</v>
      </c>
      <c r="L95" s="116">
        <f>VLOOKUP($I95,'IALM Comparison'!$AL$4:$AQ$118,4,FALSE)</f>
        <v>14.139864004822611</v>
      </c>
      <c r="M95" s="116">
        <f>VLOOKUP($I95,'IALM Comparison'!$AL$4:$AQ$118,5,FALSE)</f>
        <v>0.99854699999999996</v>
      </c>
      <c r="O95" s="116">
        <v>3</v>
      </c>
      <c r="P95" s="195">
        <f t="shared" si="25"/>
        <v>0.82784909180297983</v>
      </c>
      <c r="Q95" s="195">
        <f t="shared" si="27"/>
        <v>0.99616989423479707</v>
      </c>
      <c r="R95" s="195">
        <f t="shared" si="28"/>
        <v>0.82467834222374725</v>
      </c>
      <c r="S95" s="195">
        <f t="shared" si="26"/>
        <v>1.0223240383411976E-2</v>
      </c>
    </row>
    <row r="96" spans="8:19" x14ac:dyDescent="0.3">
      <c r="H96" s="116">
        <v>4</v>
      </c>
      <c r="I96" s="116">
        <f t="shared" si="29"/>
        <v>39</v>
      </c>
      <c r="J96" s="116">
        <f>VLOOKUP($I96,'IALM Comparison'!$AL$4:$AQ$118,2,FALSE)</f>
        <v>1.56E-3</v>
      </c>
      <c r="K96" s="116">
        <f>VLOOKUP($I96,'IALM Comparison'!$AL$4:$AQ$118,3,FALSE)</f>
        <v>9717.3563540423966</v>
      </c>
      <c r="L96" s="116">
        <f>VLOOKUP($I96,'IALM Comparison'!$AL$4:$AQ$118,4,FALSE)</f>
        <v>15.159075912306138</v>
      </c>
      <c r="M96" s="116">
        <f>VLOOKUP($I96,'IALM Comparison'!$AL$4:$AQ$118,5,FALSE)</f>
        <v>0.99843999999999999</v>
      </c>
      <c r="O96" s="116">
        <v>4</v>
      </c>
      <c r="P96" s="195">
        <f t="shared" si="25"/>
        <v>0.77732309089481666</v>
      </c>
      <c r="Q96" s="195">
        <f t="shared" si="27"/>
        <v>0.99472245937847392</v>
      </c>
      <c r="R96" s="195">
        <f t="shared" si="28"/>
        <v>0.7732207367065691</v>
      </c>
      <c r="S96" s="195">
        <f t="shared" si="26"/>
        <v>9.4019329122993454E-3</v>
      </c>
    </row>
    <row r="97" spans="8:19" x14ac:dyDescent="0.3">
      <c r="H97" s="116">
        <v>5</v>
      </c>
      <c r="I97" s="116">
        <f t="shared" si="29"/>
        <v>40</v>
      </c>
      <c r="J97" s="116">
        <f>VLOOKUP($I97,'IALM Comparison'!$AL$4:$AQ$118,2,FALSE)</f>
        <v>1.6800000000000001E-3</v>
      </c>
      <c r="K97" s="116">
        <f>VLOOKUP($I97,'IALM Comparison'!$AL$4:$AQ$118,3,FALSE)</f>
        <v>9702.1972781300901</v>
      </c>
      <c r="L97" s="116">
        <f>VLOOKUP($I97,'IALM Comparison'!$AL$4:$AQ$118,4,FALSE)</f>
        <v>16.299691427258551</v>
      </c>
      <c r="M97" s="116">
        <f>VLOOKUP($I97,'IALM Comparison'!$AL$4:$AQ$118,5,FALSE)</f>
        <v>0.99831999999999999</v>
      </c>
      <c r="O97" s="116">
        <v>5</v>
      </c>
      <c r="P97" s="195">
        <f t="shared" si="25"/>
        <v>0.72988083652095459</v>
      </c>
      <c r="Q97" s="195">
        <f t="shared" si="27"/>
        <v>0.99317069234184352</v>
      </c>
      <c r="R97" s="195">
        <f t="shared" si="28"/>
        <v>0.7248962557345604</v>
      </c>
      <c r="S97" s="195">
        <f t="shared" si="26"/>
        <v>8.416286097548055E-3</v>
      </c>
    </row>
    <row r="98" spans="8:19" x14ac:dyDescent="0.3">
      <c r="H98" s="116">
        <v>6</v>
      </c>
      <c r="I98" s="116">
        <f t="shared" si="29"/>
        <v>41</v>
      </c>
      <c r="J98" s="116">
        <f>VLOOKUP($I98,'IALM Comparison'!$AL$4:$AQ$118,2,FALSE)</f>
        <v>1.815E-3</v>
      </c>
      <c r="K98" s="116">
        <f>VLOOKUP($I98,'IALM Comparison'!$AL$4:$AQ$118,3,FALSE)</f>
        <v>9685.8975867028312</v>
      </c>
      <c r="L98" s="116">
        <f>VLOOKUP($I98,'IALM Comparison'!$AL$4:$AQ$118,4,FALSE)</f>
        <v>17.579904119865638</v>
      </c>
      <c r="M98" s="116">
        <f>VLOOKUP($I98,'IALM Comparison'!$AL$4:$AQ$118,5,FALSE)</f>
        <v>0.99818499999999999</v>
      </c>
      <c r="O98" s="116">
        <v>6</v>
      </c>
      <c r="P98" s="195">
        <f t="shared" si="25"/>
        <v>0.6853341187990184</v>
      </c>
      <c r="Q98" s="195">
        <f t="shared" si="27"/>
        <v>0.99150216557870918</v>
      </c>
      <c r="R98" s="195">
        <f t="shared" si="28"/>
        <v>0.67951026293420314</v>
      </c>
      <c r="S98" s="195">
        <f t="shared" si="26"/>
        <v>7.2417704031597623E-3</v>
      </c>
    </row>
    <row r="99" spans="8:19" x14ac:dyDescent="0.3">
      <c r="H99" s="116">
        <v>7</v>
      </c>
      <c r="I99" s="116">
        <f t="shared" si="29"/>
        <v>42</v>
      </c>
      <c r="J99" s="116">
        <f>VLOOKUP($I99,'IALM Comparison'!$AL$4:$AQ$118,2,FALSE)</f>
        <v>1.9689999999999998E-3</v>
      </c>
      <c r="K99" s="116">
        <f>VLOOKUP($I99,'IALM Comparison'!$AL$4:$AQ$118,3,FALSE)</f>
        <v>9668.3176825829651</v>
      </c>
      <c r="L99" s="116">
        <f>VLOOKUP($I99,'IALM Comparison'!$AL$4:$AQ$118,4,FALSE)</f>
        <v>19.036917517005858</v>
      </c>
      <c r="M99" s="116">
        <f>VLOOKUP($I99,'IALM Comparison'!$AL$4:$AQ$118,5,FALSE)</f>
        <v>0.998031</v>
      </c>
      <c r="O99" s="116">
        <v>7</v>
      </c>
      <c r="P99" s="195">
        <f t="shared" si="25"/>
        <v>0.64350621483475912</v>
      </c>
      <c r="Q99" s="195">
        <f t="shared" si="27"/>
        <v>0.98970258914818376</v>
      </c>
      <c r="R99" s="195">
        <f t="shared" si="28"/>
        <v>0.63687976695490844</v>
      </c>
      <c r="S99" s="195">
        <f t="shared" si="26"/>
        <v>5.8500444147479751E-3</v>
      </c>
    </row>
    <row r="100" spans="8:19" x14ac:dyDescent="0.3">
      <c r="H100" s="116">
        <v>8</v>
      </c>
      <c r="I100" s="116">
        <f t="shared" si="29"/>
        <v>43</v>
      </c>
      <c r="J100" s="116">
        <f>VLOOKUP($I100,'IALM Comparison'!$AL$4:$AQ$118,2,FALSE)</f>
        <v>2.1440000000000001E-3</v>
      </c>
      <c r="K100" s="116">
        <f>VLOOKUP($I100,'IALM Comparison'!$AL$4:$AQ$118,3,FALSE)</f>
        <v>9649.2807650659597</v>
      </c>
      <c r="L100" s="116">
        <f>VLOOKUP($I100,'IALM Comparison'!$AL$4:$AQ$118,4,FALSE)</f>
        <v>20.688057960301418</v>
      </c>
      <c r="M100" s="116">
        <f>VLOOKUP($I100,'IALM Comparison'!$AL$4:$AQ$118,5,FALSE)</f>
        <v>0.99785599999999997</v>
      </c>
      <c r="O100" s="116">
        <v>8</v>
      </c>
      <c r="P100" s="195">
        <f t="shared" si="25"/>
        <v>0.60423118763827144</v>
      </c>
      <c r="Q100" s="195">
        <f t="shared" si="27"/>
        <v>0.98775386475015103</v>
      </c>
      <c r="R100" s="195">
        <f t="shared" si="28"/>
        <v>0.59683169079227627</v>
      </c>
      <c r="S100" s="195">
        <f t="shared" si="26"/>
        <v>4.2065949827053643E-3</v>
      </c>
    </row>
    <row r="101" spans="8:19" x14ac:dyDescent="0.3">
      <c r="H101" s="116">
        <v>9</v>
      </c>
      <c r="I101" s="116">
        <f t="shared" si="29"/>
        <v>44</v>
      </c>
      <c r="J101" s="116">
        <f>VLOOKUP($I101,'IALM Comparison'!$AL$4:$AQ$118,2,FALSE)</f>
        <v>2.3449999999999999E-3</v>
      </c>
      <c r="K101" s="116">
        <f>VLOOKUP($I101,'IALM Comparison'!$AL$4:$AQ$118,3,FALSE)</f>
        <v>9628.5927071056576</v>
      </c>
      <c r="L101" s="116">
        <f>VLOOKUP($I101,'IALM Comparison'!$AL$4:$AQ$118,4,FALSE)</f>
        <v>22.579049898162765</v>
      </c>
      <c r="M101" s="116">
        <f>VLOOKUP($I101,'IALM Comparison'!$AL$4:$AQ$118,5,FALSE)</f>
        <v>0.99765499999999996</v>
      </c>
      <c r="O101" s="116">
        <v>9</v>
      </c>
      <c r="P101" s="195">
        <f t="shared" si="25"/>
        <v>0.56735322782936282</v>
      </c>
      <c r="Q101" s="195">
        <f t="shared" si="27"/>
        <v>0.98563612046412663</v>
      </c>
      <c r="R101" s="195">
        <f>Q101*P101</f>
        <v>0.5592038344105329</v>
      </c>
      <c r="S101" s="195">
        <f>(v^0.5)*(L101/K101)</f>
        <v>2.272312424792978E-3</v>
      </c>
    </row>
    <row r="102" spans="8:19" x14ac:dyDescent="0.3">
      <c r="H102" s="116">
        <v>10</v>
      </c>
      <c r="I102" s="116">
        <f t="shared" si="29"/>
        <v>45</v>
      </c>
      <c r="J102" s="116">
        <f>VLOOKUP($I102,'IALM Comparison'!$AL$4:$AQ$118,2,FALSE)</f>
        <v>2.5790000000000001E-3</v>
      </c>
      <c r="K102" s="116">
        <f>VLOOKUP($I102,'IALM Comparison'!$AL$4:$AQ$118,3,FALSE)</f>
        <v>9606.0136572074953</v>
      </c>
      <c r="L102" s="116">
        <f>VLOOKUP($I102,'IALM Comparison'!$AL$4:$AQ$118,4,FALSE)</f>
        <v>24.77390922193813</v>
      </c>
      <c r="M102" s="116">
        <f>VLOOKUP($I102,'IALM Comparison'!$AL$4:$AQ$118,5,FALSE)</f>
        <v>0.997421</v>
      </c>
      <c r="O102" s="116">
        <v>10</v>
      </c>
      <c r="P102" s="195">
        <v>0</v>
      </c>
      <c r="Q102" s="195">
        <f t="shared" si="27"/>
        <v>0.98332480376163822</v>
      </c>
      <c r="R102" s="195">
        <f>Q102*P102</f>
        <v>0</v>
      </c>
      <c r="S102" s="195">
        <v>0</v>
      </c>
    </row>
    <row r="105" spans="8:19" x14ac:dyDescent="0.3">
      <c r="I105" s="226" t="s">
        <v>57</v>
      </c>
      <c r="J105" s="226"/>
    </row>
    <row r="106" spans="8:19" x14ac:dyDescent="0.3">
      <c r="I106" s="227"/>
      <c r="J106" s="227"/>
    </row>
    <row r="108" spans="8:19" x14ac:dyDescent="0.3">
      <c r="H108" s="228" t="s">
        <v>43</v>
      </c>
      <c r="I108" s="228"/>
      <c r="J108" s="228"/>
      <c r="K108" s="228"/>
      <c r="L108" s="228"/>
      <c r="M108" s="228"/>
    </row>
    <row r="109" spans="8:19" x14ac:dyDescent="0.3">
      <c r="H109" s="177" t="s">
        <v>40</v>
      </c>
      <c r="I109" s="177" t="s">
        <v>41</v>
      </c>
      <c r="J109" s="65"/>
      <c r="K109" s="65"/>
      <c r="L109" s="65"/>
      <c r="M109" s="65"/>
      <c r="O109" s="177" t="s">
        <v>40</v>
      </c>
      <c r="P109" s="177" t="s">
        <v>46</v>
      </c>
      <c r="Q109" s="177" t="s">
        <v>48</v>
      </c>
      <c r="R109" s="177" t="s">
        <v>47</v>
      </c>
      <c r="S109" s="177" t="s">
        <v>49</v>
      </c>
    </row>
    <row r="110" spans="8:19" x14ac:dyDescent="0.3">
      <c r="H110" s="177">
        <v>0</v>
      </c>
      <c r="I110" s="177">
        <f>F6</f>
        <v>40</v>
      </c>
      <c r="J110" s="177">
        <f>VLOOKUP($I110,'IALM Comparison'!$AE$4:$AJ$118,2,FALSE)</f>
        <v>1.8029999999999999E-3</v>
      </c>
      <c r="K110" s="190">
        <f>VLOOKUP($I110,'IALM Comparison'!$AE$4:$AJ$118,3,FALSE)</f>
        <v>9611.735935530407</v>
      </c>
      <c r="L110" s="190">
        <f>VLOOKUP($I110,'IALM Comparison'!$AE$4:$AJ$118,4,FALSE)</f>
        <v>17.329959891761323</v>
      </c>
      <c r="M110" s="191">
        <f>VLOOKUP($I110,'IALM Comparison'!$AE$4:$AJ$118,5,FALSE)</f>
        <v>0.998197</v>
      </c>
      <c r="O110" s="177">
        <v>0</v>
      </c>
      <c r="P110" s="196">
        <f t="shared" ref="P110:P119" si="30">v^O110</f>
        <v>1</v>
      </c>
      <c r="Q110" s="196">
        <v>1</v>
      </c>
      <c r="R110" s="196">
        <f>Q110*P110</f>
        <v>1</v>
      </c>
      <c r="S110" s="196">
        <f t="shared" ref="S110:S118" si="31">(S111*v)*(M110)+(v^0.5)*(L110/K110)</f>
        <v>2.0119273805093131E-2</v>
      </c>
    </row>
    <row r="111" spans="8:19" x14ac:dyDescent="0.3">
      <c r="H111" s="177">
        <v>1</v>
      </c>
      <c r="I111" s="177">
        <f>I110+1</f>
        <v>41</v>
      </c>
      <c r="J111" s="177">
        <f>VLOOKUP($I111,'IALM Comparison'!$AE$4:$AJ$118,2,FALSE)</f>
        <v>1.9589999999999998E-3</v>
      </c>
      <c r="K111" s="190">
        <f>VLOOKUP($I111,'IALM Comparison'!$AE$4:$AJ$118,3,FALSE)</f>
        <v>9594.405975638645</v>
      </c>
      <c r="L111" s="190">
        <f>VLOOKUP($I111,'IALM Comparison'!$AE$4:$AJ$118,4,FALSE)</f>
        <v>18.795441306276103</v>
      </c>
      <c r="M111" s="191">
        <f>VLOOKUP($I111,'IALM Comparison'!$AE$4:$AJ$118,5,FALSE)</f>
        <v>0.99804099999999996</v>
      </c>
      <c r="O111" s="177">
        <v>1</v>
      </c>
      <c r="P111" s="196">
        <f t="shared" si="30"/>
        <v>0.93896713615023475</v>
      </c>
      <c r="Q111" s="196">
        <f t="shared" ref="Q111:Q120" si="32">Q110*M110</f>
        <v>0.998197</v>
      </c>
      <c r="R111" s="196">
        <f t="shared" ref="R111:R120" si="33">Q111*P111</f>
        <v>0.93727417840375593</v>
      </c>
      <c r="S111" s="196">
        <f t="shared" si="31"/>
        <v>1.9601693420896453E-2</v>
      </c>
    </row>
    <row r="112" spans="8:19" x14ac:dyDescent="0.3">
      <c r="H112" s="177">
        <v>2</v>
      </c>
      <c r="I112" s="177">
        <f t="shared" ref="I112:I120" si="34">I111+1</f>
        <v>42</v>
      </c>
      <c r="J112" s="177">
        <f>VLOOKUP($I112,'IALM Comparison'!$AE$4:$AJ$118,2,FALSE)</f>
        <v>2.14E-3</v>
      </c>
      <c r="K112" s="190">
        <f>VLOOKUP($I112,'IALM Comparison'!$AE$4:$AJ$118,3,FALSE)</f>
        <v>9575.6105343323688</v>
      </c>
      <c r="L112" s="190">
        <f>VLOOKUP($I112,'IALM Comparison'!$AE$4:$AJ$118,4,FALSE)</f>
        <v>20.49180654347127</v>
      </c>
      <c r="M112" s="191">
        <f>VLOOKUP($I112,'IALM Comparison'!$AE$4:$AJ$118,5,FALSE)</f>
        <v>0.99785999999999997</v>
      </c>
      <c r="O112" s="177">
        <v>2</v>
      </c>
      <c r="P112" s="196">
        <f t="shared" si="30"/>
        <v>0.88165928277017347</v>
      </c>
      <c r="Q112" s="196">
        <f t="shared" si="32"/>
        <v>0.99624153207699995</v>
      </c>
      <c r="R112" s="196">
        <f t="shared" si="33"/>
        <v>0.87834559463686657</v>
      </c>
      <c r="S112" s="196">
        <f t="shared" si="31"/>
        <v>1.8891146027520737E-2</v>
      </c>
    </row>
    <row r="113" spans="8:19" x14ac:dyDescent="0.3">
      <c r="H113" s="177">
        <v>3</v>
      </c>
      <c r="I113" s="177">
        <f t="shared" si="34"/>
        <v>43</v>
      </c>
      <c r="J113" s="177">
        <f>VLOOKUP($I113,'IALM Comparison'!$AE$4:$AJ$118,2,FALSE)</f>
        <v>2.3500000000000001E-3</v>
      </c>
      <c r="K113" s="190">
        <f>VLOOKUP($I113,'IALM Comparison'!$AE$4:$AJ$118,3,FALSE)</f>
        <v>9555.1187277888985</v>
      </c>
      <c r="L113" s="190">
        <f>VLOOKUP($I113,'IALM Comparison'!$AE$4:$AJ$118,4,FALSE)</f>
        <v>22.454529010303911</v>
      </c>
      <c r="M113" s="191">
        <f>VLOOKUP($I113,'IALM Comparison'!$AE$4:$AJ$118,5,FALSE)</f>
        <v>0.99765000000000004</v>
      </c>
      <c r="O113" s="177">
        <v>3</v>
      </c>
      <c r="P113" s="196">
        <f t="shared" si="30"/>
        <v>0.82784909180297983</v>
      </c>
      <c r="Q113" s="196">
        <f t="shared" si="32"/>
        <v>0.99410957519835519</v>
      </c>
      <c r="R113" s="196">
        <f t="shared" si="33"/>
        <v>0.82297270898060437</v>
      </c>
      <c r="S113" s="196">
        <f t="shared" si="31"/>
        <v>1.794902631949442E-2</v>
      </c>
    </row>
    <row r="114" spans="8:19" x14ac:dyDescent="0.3">
      <c r="H114" s="177">
        <v>4</v>
      </c>
      <c r="I114" s="177">
        <f t="shared" si="34"/>
        <v>44</v>
      </c>
      <c r="J114" s="177">
        <f>VLOOKUP($I114,'IALM Comparison'!$AE$4:$AJ$118,2,FALSE)</f>
        <v>2.5929999999999998E-3</v>
      </c>
      <c r="K114" s="190">
        <f>VLOOKUP($I114,'IALM Comparison'!$AE$4:$AJ$118,3,FALSE)</f>
        <v>9532.6641987785952</v>
      </c>
      <c r="L114" s="190">
        <f>VLOOKUP($I114,'IALM Comparison'!$AE$4:$AJ$118,4,FALSE)</f>
        <v>24.718198267432896</v>
      </c>
      <c r="M114" s="191">
        <f>VLOOKUP($I114,'IALM Comparison'!$AE$4:$AJ$118,5,FALSE)</f>
        <v>0.99740700000000004</v>
      </c>
      <c r="O114" s="177">
        <v>4</v>
      </c>
      <c r="P114" s="196">
        <f t="shared" si="30"/>
        <v>0.77732309089481666</v>
      </c>
      <c r="Q114" s="196">
        <f t="shared" si="32"/>
        <v>0.99177341769663907</v>
      </c>
      <c r="R114" s="196">
        <f t="shared" si="33"/>
        <v>0.7709283785112675</v>
      </c>
      <c r="S114" s="196">
        <f t="shared" si="31"/>
        <v>1.6729855516460581E-2</v>
      </c>
    </row>
    <row r="115" spans="8:19" x14ac:dyDescent="0.3">
      <c r="H115" s="177">
        <v>5</v>
      </c>
      <c r="I115" s="177">
        <f t="shared" si="34"/>
        <v>45</v>
      </c>
      <c r="J115" s="177">
        <f>VLOOKUP($I115,'IALM Comparison'!$AE$4:$AJ$118,2,FALSE)</f>
        <v>2.8739999999999998E-3</v>
      </c>
      <c r="K115" s="190">
        <f>VLOOKUP($I115,'IALM Comparison'!$AE$4:$AJ$118,3,FALSE)</f>
        <v>9507.9460005111614</v>
      </c>
      <c r="L115" s="190">
        <f>VLOOKUP($I115,'IALM Comparison'!$AE$4:$AJ$118,4,FALSE)</f>
        <v>27.325836805469077</v>
      </c>
      <c r="M115" s="191">
        <f>VLOOKUP($I115,'IALM Comparison'!$AE$4:$AJ$118,5,FALSE)</f>
        <v>0.99712599999999996</v>
      </c>
      <c r="O115" s="177">
        <v>5</v>
      </c>
      <c r="P115" s="196">
        <f t="shared" si="30"/>
        <v>0.72988083652095459</v>
      </c>
      <c r="Q115" s="196">
        <f t="shared" si="32"/>
        <v>0.98920174922455173</v>
      </c>
      <c r="R115" s="196">
        <f t="shared" si="33"/>
        <v>0.72199940021200737</v>
      </c>
      <c r="S115" s="196">
        <f t="shared" si="31"/>
        <v>1.5180713867421397E-2</v>
      </c>
    </row>
    <row r="116" spans="8:19" x14ac:dyDescent="0.3">
      <c r="H116" s="177">
        <v>6</v>
      </c>
      <c r="I116" s="177">
        <f t="shared" si="34"/>
        <v>46</v>
      </c>
      <c r="J116" s="177">
        <f>VLOOKUP($I116,'IALM Comparison'!$AE$4:$AJ$118,2,FALSE)</f>
        <v>3.1970000000000002E-3</v>
      </c>
      <c r="K116" s="190">
        <f>VLOOKUP($I116,'IALM Comparison'!$AE$4:$AJ$118,3,FALSE)</f>
        <v>9480.6201637056929</v>
      </c>
      <c r="L116" s="190">
        <f>VLOOKUP($I116,'IALM Comparison'!$AE$4:$AJ$118,4,FALSE)</f>
        <v>30.3095426633671</v>
      </c>
      <c r="M116" s="191">
        <f>VLOOKUP($I116,'IALM Comparison'!$AE$4:$AJ$118,5,FALSE)</f>
        <v>0.99680299999999999</v>
      </c>
      <c r="O116" s="177">
        <v>6</v>
      </c>
      <c r="P116" s="196">
        <f t="shared" si="30"/>
        <v>0.6853341187990184</v>
      </c>
      <c r="Q116" s="196">
        <f t="shared" si="32"/>
        <v>0.98635878339728034</v>
      </c>
      <c r="R116" s="196">
        <f t="shared" si="33"/>
        <v>0.67598532763924701</v>
      </c>
      <c r="S116" s="196">
        <f t="shared" si="31"/>
        <v>1.3239576229680815E-2</v>
      </c>
    </row>
    <row r="117" spans="8:19" x14ac:dyDescent="0.3">
      <c r="H117" s="177">
        <v>7</v>
      </c>
      <c r="I117" s="177">
        <f t="shared" si="34"/>
        <v>47</v>
      </c>
      <c r="J117" s="177">
        <f>VLOOKUP($I117,'IALM Comparison'!$AE$4:$AJ$118,2,FALSE)</f>
        <v>3.5669999999999999E-3</v>
      </c>
      <c r="K117" s="190">
        <f>VLOOKUP($I117,'IALM Comparison'!$AE$4:$AJ$118,3,FALSE)</f>
        <v>9450.3106210423266</v>
      </c>
      <c r="L117" s="190">
        <f>VLOOKUP($I117,'IALM Comparison'!$AE$4:$AJ$118,4,FALSE)</f>
        <v>33.709257985257977</v>
      </c>
      <c r="M117" s="191">
        <f>VLOOKUP($I117,'IALM Comparison'!$AE$4:$AJ$118,5,FALSE)</f>
        <v>0.99643300000000001</v>
      </c>
      <c r="O117" s="177">
        <v>7</v>
      </c>
      <c r="P117" s="196">
        <f t="shared" si="30"/>
        <v>0.64350621483475912</v>
      </c>
      <c r="Q117" s="196">
        <f t="shared" si="32"/>
        <v>0.98320539436675924</v>
      </c>
      <c r="R117" s="196">
        <f t="shared" si="33"/>
        <v>0.63269878173406979</v>
      </c>
      <c r="S117" s="196">
        <f t="shared" si="31"/>
        <v>1.0835523026353355E-2</v>
      </c>
    </row>
    <row r="118" spans="8:19" x14ac:dyDescent="0.3">
      <c r="H118" s="177">
        <v>8</v>
      </c>
      <c r="I118" s="177">
        <f t="shared" si="34"/>
        <v>48</v>
      </c>
      <c r="J118" s="177">
        <f>VLOOKUP($I118,'IALM Comparison'!$AE$4:$AJ$118,2,FALSE)</f>
        <v>3.9830000000000004E-3</v>
      </c>
      <c r="K118" s="190">
        <f>VLOOKUP($I118,'IALM Comparison'!$AE$4:$AJ$118,3,FALSE)</f>
        <v>9416.6013630570687</v>
      </c>
      <c r="L118" s="190">
        <f>VLOOKUP($I118,'IALM Comparison'!$AE$4:$AJ$118,4,FALSE)</f>
        <v>37.506323229056306</v>
      </c>
      <c r="M118" s="191">
        <f>VLOOKUP($I118,'IALM Comparison'!$AE$4:$AJ$118,5,FALSE)</f>
        <v>0.99601700000000004</v>
      </c>
      <c r="O118" s="177">
        <v>8</v>
      </c>
      <c r="P118" s="196">
        <f t="shared" si="30"/>
        <v>0.60423118763827144</v>
      </c>
      <c r="Q118" s="196">
        <f t="shared" si="32"/>
        <v>0.97969830072505304</v>
      </c>
      <c r="R118" s="196">
        <f t="shared" si="33"/>
        <v>0.59196426777429523</v>
      </c>
      <c r="S118" s="196">
        <f t="shared" si="31"/>
        <v>7.8868619365719313E-3</v>
      </c>
    </row>
    <row r="119" spans="8:19" x14ac:dyDescent="0.3">
      <c r="H119" s="177">
        <v>9</v>
      </c>
      <c r="I119" s="177">
        <f t="shared" si="34"/>
        <v>49</v>
      </c>
      <c r="J119" s="177">
        <f>VLOOKUP($I119,'IALM Comparison'!$AE$4:$AJ$118,2,FALSE)</f>
        <v>4.444E-3</v>
      </c>
      <c r="K119" s="190">
        <f>VLOOKUP($I119,'IALM Comparison'!$AE$4:$AJ$118,3,FALSE)</f>
        <v>9379.0950398280129</v>
      </c>
      <c r="L119" s="190">
        <f>VLOOKUP($I119,'IALM Comparison'!$AE$4:$AJ$118,4,FALSE)</f>
        <v>41.680698356995691</v>
      </c>
      <c r="M119" s="191">
        <f>VLOOKUP($I119,'IALM Comparison'!$AE$4:$AJ$118,5,FALSE)</f>
        <v>0.995556</v>
      </c>
      <c r="O119" s="177">
        <v>9</v>
      </c>
      <c r="P119" s="196">
        <f t="shared" si="30"/>
        <v>0.56735322782936282</v>
      </c>
      <c r="Q119" s="196">
        <f t="shared" si="32"/>
        <v>0.97579616239326517</v>
      </c>
      <c r="R119" s="196">
        <f t="shared" si="33"/>
        <v>0.5536211024373241</v>
      </c>
      <c r="S119" s="196">
        <f>(v^0.5)*(L119/K119)</f>
        <v>4.3062500706950941E-3</v>
      </c>
    </row>
    <row r="120" spans="8:19" x14ac:dyDescent="0.3">
      <c r="H120" s="177">
        <v>10</v>
      </c>
      <c r="I120" s="177">
        <f t="shared" si="34"/>
        <v>50</v>
      </c>
      <c r="J120" s="177">
        <f>VLOOKUP($I120,'IALM Comparison'!$AE$4:$AJ$118,2,FALSE)</f>
        <v>4.9459999999999999E-3</v>
      </c>
      <c r="K120" s="190">
        <f>VLOOKUP($I120,'IALM Comparison'!$AE$4:$AJ$118,3,FALSE)</f>
        <v>9337.4143414710179</v>
      </c>
      <c r="L120" s="190">
        <f>VLOOKUP($I120,'IALM Comparison'!$AE$4:$AJ$118,4,FALSE)</f>
        <v>46.182851332915654</v>
      </c>
      <c r="M120" s="191">
        <f>VLOOKUP($I120,'IALM Comparison'!$AE$4:$AJ$118,5,FALSE)</f>
        <v>0.99505399999999999</v>
      </c>
      <c r="O120" s="177">
        <v>10</v>
      </c>
      <c r="P120" s="196">
        <v>0</v>
      </c>
      <c r="Q120" s="196">
        <f t="shared" si="32"/>
        <v>0.97145972424758953</v>
      </c>
      <c r="R120" s="196">
        <f t="shared" si="33"/>
        <v>0</v>
      </c>
      <c r="S120" s="196">
        <v>0</v>
      </c>
    </row>
    <row r="122" spans="8:19" x14ac:dyDescent="0.3">
      <c r="H122" s="228" t="s">
        <v>50</v>
      </c>
      <c r="I122" s="228"/>
      <c r="J122" s="228"/>
      <c r="K122" s="228"/>
      <c r="L122" s="228"/>
      <c r="M122" s="228"/>
    </row>
    <row r="123" spans="8:19" x14ac:dyDescent="0.3">
      <c r="H123" s="177" t="s">
        <v>40</v>
      </c>
      <c r="I123" s="177" t="s">
        <v>41</v>
      </c>
      <c r="J123" s="65"/>
      <c r="K123" s="65"/>
      <c r="L123" s="65"/>
      <c r="M123" s="65"/>
      <c r="O123" s="177" t="s">
        <v>40</v>
      </c>
      <c r="P123" s="177" t="s">
        <v>46</v>
      </c>
      <c r="Q123" s="177" t="s">
        <v>48</v>
      </c>
      <c r="R123" s="177" t="s">
        <v>47</v>
      </c>
      <c r="S123" s="177" t="s">
        <v>49</v>
      </c>
    </row>
    <row r="124" spans="8:19" x14ac:dyDescent="0.3">
      <c r="H124" s="177">
        <v>0</v>
      </c>
      <c r="I124" s="177">
        <f>F6</f>
        <v>40</v>
      </c>
      <c r="J124" s="177">
        <f>VLOOKUP($I124,'IALM Comparison'!$AL$4:$AQ$118,2,FALSE)</f>
        <v>1.6800000000000001E-3</v>
      </c>
      <c r="K124" s="177">
        <f>VLOOKUP($I124,'IALM Comparison'!$AL$4:$AQ$118,3,FALSE)</f>
        <v>9702.1972781300901</v>
      </c>
      <c r="L124" s="177">
        <f>VLOOKUP($I124,'IALM Comparison'!$AL$4:$AQ$118,4,FALSE)</f>
        <v>16.299691427258551</v>
      </c>
      <c r="M124" s="177">
        <f>VLOOKUP($I124,'IALM Comparison'!$AL$4:$AQ$118,5,FALSE)</f>
        <v>0.99831999999999999</v>
      </c>
      <c r="O124" s="177">
        <v>0</v>
      </c>
      <c r="P124" s="196">
        <f t="shared" ref="P124:P133" si="35">v^O124</f>
        <v>1</v>
      </c>
      <c r="Q124" s="196">
        <v>1</v>
      </c>
      <c r="R124" s="196">
        <f>Q124*P124</f>
        <v>1</v>
      </c>
      <c r="S124" s="196">
        <f t="shared" ref="S124:S132" si="36">(S125*v)*(M124)+(v^0.5)*(L124/K124)</f>
        <v>1.8197804516243657E-2</v>
      </c>
    </row>
    <row r="125" spans="8:19" x14ac:dyDescent="0.3">
      <c r="H125" s="177">
        <v>1</v>
      </c>
      <c r="I125" s="177">
        <f>I124+1</f>
        <v>41</v>
      </c>
      <c r="J125" s="177">
        <f>VLOOKUP($I125,'IALM Comparison'!$AL$4:$AQ$118,2,FALSE)</f>
        <v>1.815E-3</v>
      </c>
      <c r="K125" s="177">
        <f>VLOOKUP($I125,'IALM Comparison'!$AL$4:$AQ$118,3,FALSE)</f>
        <v>9685.8975867028312</v>
      </c>
      <c r="L125" s="177">
        <f>VLOOKUP($I125,'IALM Comparison'!$AL$4:$AQ$118,4,FALSE)</f>
        <v>17.579904119865638</v>
      </c>
      <c r="M125" s="177">
        <f>VLOOKUP($I125,'IALM Comparison'!$AL$4:$AQ$118,5,FALSE)</f>
        <v>0.99818499999999999</v>
      </c>
      <c r="O125" s="177">
        <v>1</v>
      </c>
      <c r="P125" s="196">
        <f t="shared" si="35"/>
        <v>0.93896713615023475</v>
      </c>
      <c r="Q125" s="196">
        <f t="shared" ref="Q125:Q134" si="37">Q124*M124</f>
        <v>0.99831999999999999</v>
      </c>
      <c r="R125" s="196">
        <f t="shared" ref="R125:R132" si="38">Q125*P125</f>
        <v>0.93738967136150231</v>
      </c>
      <c r="S125" s="196">
        <f t="shared" si="36"/>
        <v>1.7676618063139346E-2</v>
      </c>
    </row>
    <row r="126" spans="8:19" x14ac:dyDescent="0.3">
      <c r="H126" s="177">
        <v>2</v>
      </c>
      <c r="I126" s="177">
        <f t="shared" ref="I126:I134" si="39">I125+1</f>
        <v>42</v>
      </c>
      <c r="J126" s="177">
        <f>VLOOKUP($I126,'IALM Comparison'!$AL$4:$AQ$118,2,FALSE)</f>
        <v>1.9689999999999998E-3</v>
      </c>
      <c r="K126" s="177">
        <f>VLOOKUP($I126,'IALM Comparison'!$AL$4:$AQ$118,3,FALSE)</f>
        <v>9668.3176825829651</v>
      </c>
      <c r="L126" s="177">
        <f>VLOOKUP($I126,'IALM Comparison'!$AL$4:$AQ$118,4,FALSE)</f>
        <v>19.036917517005858</v>
      </c>
      <c r="M126" s="177">
        <f>VLOOKUP($I126,'IALM Comparison'!$AL$4:$AQ$118,5,FALSE)</f>
        <v>0.998031</v>
      </c>
      <c r="O126" s="177">
        <v>2</v>
      </c>
      <c r="P126" s="196">
        <f t="shared" si="35"/>
        <v>0.88165928277017347</v>
      </c>
      <c r="Q126" s="196">
        <f t="shared" si="37"/>
        <v>0.99650804920000002</v>
      </c>
      <c r="R126" s="196">
        <f t="shared" si="38"/>
        <v>0.87858057193237671</v>
      </c>
      <c r="S126" s="196">
        <f t="shared" si="36"/>
        <v>1.6983364147941979E-2</v>
      </c>
    </row>
    <row r="127" spans="8:19" x14ac:dyDescent="0.3">
      <c r="H127" s="177">
        <v>3</v>
      </c>
      <c r="I127" s="177">
        <f t="shared" si="39"/>
        <v>43</v>
      </c>
      <c r="J127" s="177">
        <f>VLOOKUP($I127,'IALM Comparison'!$AL$4:$AQ$118,2,FALSE)</f>
        <v>2.1440000000000001E-3</v>
      </c>
      <c r="K127" s="177">
        <f>VLOOKUP($I127,'IALM Comparison'!$AL$4:$AQ$118,3,FALSE)</f>
        <v>9649.2807650659597</v>
      </c>
      <c r="L127" s="177">
        <f>VLOOKUP($I127,'IALM Comparison'!$AL$4:$AQ$118,4,FALSE)</f>
        <v>20.688057960301418</v>
      </c>
      <c r="M127" s="177">
        <f>VLOOKUP($I127,'IALM Comparison'!$AL$4:$AQ$118,5,FALSE)</f>
        <v>0.99785599999999997</v>
      </c>
      <c r="O127" s="177">
        <v>3</v>
      </c>
      <c r="P127" s="196">
        <f t="shared" si="35"/>
        <v>0.82784909180297983</v>
      </c>
      <c r="Q127" s="196">
        <f t="shared" si="37"/>
        <v>0.99454592485112525</v>
      </c>
      <c r="R127" s="196">
        <f t="shared" si="38"/>
        <v>0.82333394064435872</v>
      </c>
      <c r="S127" s="196">
        <f t="shared" si="36"/>
        <v>1.6086972962799786E-2</v>
      </c>
    </row>
    <row r="128" spans="8:19" x14ac:dyDescent="0.3">
      <c r="H128" s="177">
        <v>4</v>
      </c>
      <c r="I128" s="177">
        <f t="shared" si="39"/>
        <v>44</v>
      </c>
      <c r="J128" s="177">
        <f>VLOOKUP($I128,'IALM Comparison'!$AL$4:$AQ$118,2,FALSE)</f>
        <v>2.3449999999999999E-3</v>
      </c>
      <c r="K128" s="177">
        <f>VLOOKUP($I128,'IALM Comparison'!$AL$4:$AQ$118,3,FALSE)</f>
        <v>9628.5927071056576</v>
      </c>
      <c r="L128" s="177">
        <f>VLOOKUP($I128,'IALM Comparison'!$AL$4:$AQ$118,4,FALSE)</f>
        <v>22.579049898162765</v>
      </c>
      <c r="M128" s="177">
        <f>VLOOKUP($I128,'IALM Comparison'!$AL$4:$AQ$118,5,FALSE)</f>
        <v>0.99765499999999996</v>
      </c>
      <c r="O128" s="177">
        <v>4</v>
      </c>
      <c r="P128" s="196">
        <f t="shared" si="35"/>
        <v>0.77732309089481666</v>
      </c>
      <c r="Q128" s="196">
        <f t="shared" si="37"/>
        <v>0.99241361838824438</v>
      </c>
      <c r="R128" s="196">
        <f t="shared" si="38"/>
        <v>0.77142602129165916</v>
      </c>
      <c r="S128" s="196">
        <f t="shared" si="36"/>
        <v>1.4952100439096203E-2</v>
      </c>
    </row>
    <row r="129" spans="8:19" x14ac:dyDescent="0.3">
      <c r="H129" s="177">
        <v>5</v>
      </c>
      <c r="I129" s="177">
        <f t="shared" si="39"/>
        <v>45</v>
      </c>
      <c r="J129" s="177">
        <f>VLOOKUP($I129,'IALM Comparison'!$AL$4:$AQ$118,2,FALSE)</f>
        <v>2.5790000000000001E-3</v>
      </c>
      <c r="K129" s="177">
        <f>VLOOKUP($I129,'IALM Comparison'!$AL$4:$AQ$118,3,FALSE)</f>
        <v>9606.0136572074953</v>
      </c>
      <c r="L129" s="177">
        <f>VLOOKUP($I129,'IALM Comparison'!$AL$4:$AQ$118,4,FALSE)</f>
        <v>24.77390922193813</v>
      </c>
      <c r="M129" s="177">
        <f>VLOOKUP($I129,'IALM Comparison'!$AL$4:$AQ$118,5,FALSE)</f>
        <v>0.997421</v>
      </c>
      <c r="O129" s="177">
        <v>5</v>
      </c>
      <c r="P129" s="196">
        <f t="shared" si="35"/>
        <v>0.72988083652095459</v>
      </c>
      <c r="Q129" s="196">
        <f t="shared" si="37"/>
        <v>0.9900864084531239</v>
      </c>
      <c r="R129" s="196">
        <f t="shared" si="38"/>
        <v>0.72264509602979354</v>
      </c>
      <c r="S129" s="196">
        <f t="shared" si="36"/>
        <v>1.353571548805242E-2</v>
      </c>
    </row>
    <row r="130" spans="8:19" x14ac:dyDescent="0.3">
      <c r="H130" s="177">
        <v>6</v>
      </c>
      <c r="I130" s="177">
        <f t="shared" si="39"/>
        <v>46</v>
      </c>
      <c r="J130" s="177">
        <f>VLOOKUP($I130,'IALM Comparison'!$AL$4:$AQ$118,2,FALSE)</f>
        <v>2.8509999999999998E-3</v>
      </c>
      <c r="K130" s="177">
        <f>VLOOKUP($I130,'IALM Comparison'!$AL$4:$AQ$118,3,FALSE)</f>
        <v>9581.2397479855572</v>
      </c>
      <c r="L130" s="177">
        <f>VLOOKUP($I130,'IALM Comparison'!$AL$4:$AQ$118,4,FALSE)</f>
        <v>27.316114521506822</v>
      </c>
      <c r="M130" s="177">
        <f>VLOOKUP($I130,'IALM Comparison'!$AL$4:$AQ$118,5,FALSE)</f>
        <v>0.99714899999999995</v>
      </c>
      <c r="O130" s="177">
        <v>6</v>
      </c>
      <c r="P130" s="196">
        <f t="shared" si="35"/>
        <v>0.6853341187990184</v>
      </c>
      <c r="Q130" s="196">
        <f t="shared" si="37"/>
        <v>0.98753297560572328</v>
      </c>
      <c r="R130" s="196">
        <f t="shared" si="38"/>
        <v>0.67679004162172085</v>
      </c>
      <c r="S130" s="196">
        <f t="shared" si="36"/>
        <v>1.1784431030945676E-2</v>
      </c>
    </row>
    <row r="131" spans="8:19" x14ac:dyDescent="0.3">
      <c r="H131" s="177">
        <v>7</v>
      </c>
      <c r="I131" s="177">
        <f t="shared" si="39"/>
        <v>47</v>
      </c>
      <c r="J131" s="177">
        <f>VLOOKUP($I131,'IALM Comparison'!$AL$4:$AQ$118,2,FALSE)</f>
        <v>3.1679999999999998E-3</v>
      </c>
      <c r="K131" s="177">
        <f>VLOOKUP($I131,'IALM Comparison'!$AL$4:$AQ$118,3,FALSE)</f>
        <v>9553.92363346405</v>
      </c>
      <c r="L131" s="177">
        <f>VLOOKUP($I131,'IALM Comparison'!$AL$4:$AQ$118,4,FALSE)</f>
        <v>30.266830070814109</v>
      </c>
      <c r="M131" s="177">
        <f>VLOOKUP($I131,'IALM Comparison'!$AL$4:$AQ$118,5,FALSE)</f>
        <v>0.99683200000000005</v>
      </c>
      <c r="O131" s="177">
        <v>7</v>
      </c>
      <c r="P131" s="196">
        <f t="shared" si="35"/>
        <v>0.64350621483475912</v>
      </c>
      <c r="Q131" s="196">
        <f t="shared" si="37"/>
        <v>0.98471751909227134</v>
      </c>
      <c r="R131" s="196">
        <f t="shared" si="38"/>
        <v>0.63367184339254212</v>
      </c>
      <c r="S131" s="196">
        <f t="shared" si="36"/>
        <v>9.6356915559326663E-3</v>
      </c>
    </row>
    <row r="132" spans="8:19" x14ac:dyDescent="0.3">
      <c r="H132" s="177">
        <v>8</v>
      </c>
      <c r="I132" s="177">
        <f t="shared" si="39"/>
        <v>48</v>
      </c>
      <c r="J132" s="177">
        <f>VLOOKUP($I132,'IALM Comparison'!$AL$4:$AQ$118,2,FALSE)</f>
        <v>3.5360000000000001E-3</v>
      </c>
      <c r="K132" s="177">
        <f>VLOOKUP($I132,'IALM Comparison'!$AL$4:$AQ$118,3,FALSE)</f>
        <v>9523.6568033932363</v>
      </c>
      <c r="L132" s="177">
        <f>VLOOKUP($I132,'IALM Comparison'!$AL$4:$AQ$118,4,FALSE)</f>
        <v>33.675650456798486</v>
      </c>
      <c r="M132" s="177">
        <f>VLOOKUP($I132,'IALM Comparison'!$AL$4:$AQ$118,5,FALSE)</f>
        <v>0.99646400000000002</v>
      </c>
      <c r="O132" s="177">
        <v>8</v>
      </c>
      <c r="P132" s="196">
        <f t="shared" si="35"/>
        <v>0.60423118763827144</v>
      </c>
      <c r="Q132" s="196">
        <f t="shared" si="37"/>
        <v>0.98159793399178707</v>
      </c>
      <c r="R132" s="196">
        <f t="shared" si="38"/>
        <v>0.59311208543913108</v>
      </c>
      <c r="S132" s="196">
        <f t="shared" si="36"/>
        <v>7.0148955335353636E-3</v>
      </c>
    </row>
    <row r="133" spans="8:19" x14ac:dyDescent="0.3">
      <c r="H133" s="177">
        <v>9</v>
      </c>
      <c r="I133" s="177">
        <f t="shared" si="39"/>
        <v>49</v>
      </c>
      <c r="J133" s="177">
        <f>VLOOKUP($I133,'IALM Comparison'!$AL$4:$AQ$118,2,FALSE)</f>
        <v>3.9579999999999997E-3</v>
      </c>
      <c r="K133" s="177">
        <f>VLOOKUP($I133,'IALM Comparison'!$AL$4:$AQ$118,3,FALSE)</f>
        <v>9489.9811529364379</v>
      </c>
      <c r="L133" s="177">
        <f>VLOOKUP($I133,'IALM Comparison'!$AL$4:$AQ$118,4,FALSE)</f>
        <v>37.56134540332242</v>
      </c>
      <c r="M133" s="177">
        <f>VLOOKUP($I133,'IALM Comparison'!$AL$4:$AQ$118,5,FALSE)</f>
        <v>0.99604199999999998</v>
      </c>
      <c r="O133" s="177">
        <v>9</v>
      </c>
      <c r="P133" s="196">
        <f t="shared" si="35"/>
        <v>0.56735322782936282</v>
      </c>
      <c r="Q133" s="196">
        <f t="shared" si="37"/>
        <v>0.97812700369719208</v>
      </c>
      <c r="R133" s="196">
        <f>Q133*P133</f>
        <v>0.55494351277466503</v>
      </c>
      <c r="S133" s="196">
        <f>(v^0.5)*(L133/K133)</f>
        <v>3.8353145319107067E-3</v>
      </c>
    </row>
    <row r="134" spans="8:19" x14ac:dyDescent="0.3">
      <c r="H134" s="177">
        <v>10</v>
      </c>
      <c r="I134" s="177">
        <f t="shared" si="39"/>
        <v>50</v>
      </c>
      <c r="J134" s="177">
        <f>VLOOKUP($I134,'IALM Comparison'!$AL$4:$AQ$118,2,FALSE)</f>
        <v>4.4359999999999998E-3</v>
      </c>
      <c r="K134" s="177">
        <f>VLOOKUP($I134,'IALM Comparison'!$AL$4:$AQ$118,3,FALSE)</f>
        <v>9452.4198075331151</v>
      </c>
      <c r="L134" s="177">
        <f>VLOOKUP($I134,'IALM Comparison'!$AL$4:$AQ$118,4,FALSE)</f>
        <v>41.930934266216894</v>
      </c>
      <c r="M134" s="177">
        <f>VLOOKUP($I134,'IALM Comparison'!$AL$4:$AQ$118,5,FALSE)</f>
        <v>0.995564</v>
      </c>
      <c r="O134" s="177">
        <v>10</v>
      </c>
      <c r="P134" s="196">
        <v>0</v>
      </c>
      <c r="Q134" s="196">
        <f t="shared" si="37"/>
        <v>0.97425557701655863</v>
      </c>
      <c r="R134" s="196">
        <f>Q134*P134</f>
        <v>0</v>
      </c>
      <c r="S134" s="196">
        <v>0</v>
      </c>
    </row>
    <row r="137" spans="8:19" x14ac:dyDescent="0.3">
      <c r="I137" s="226" t="s">
        <v>58</v>
      </c>
      <c r="J137" s="226"/>
    </row>
    <row r="138" spans="8:19" x14ac:dyDescent="0.3">
      <c r="I138" s="227"/>
      <c r="J138" s="227"/>
    </row>
    <row r="140" spans="8:19" x14ac:dyDescent="0.3">
      <c r="H140" s="224" t="s">
        <v>43</v>
      </c>
      <c r="I140" s="224"/>
      <c r="J140" s="224"/>
      <c r="K140" s="224"/>
      <c r="L140" s="224"/>
      <c r="M140" s="224"/>
    </row>
    <row r="141" spans="8:19" x14ac:dyDescent="0.3">
      <c r="H141" s="175" t="s">
        <v>40</v>
      </c>
      <c r="I141" s="175" t="s">
        <v>41</v>
      </c>
      <c r="J141" s="197"/>
      <c r="K141" s="197"/>
      <c r="L141" s="197"/>
      <c r="M141" s="197"/>
      <c r="O141" s="175" t="s">
        <v>40</v>
      </c>
      <c r="P141" s="175" t="s">
        <v>46</v>
      </c>
      <c r="Q141" s="175" t="s">
        <v>48</v>
      </c>
      <c r="R141" s="175" t="s">
        <v>47</v>
      </c>
      <c r="S141" s="175" t="s">
        <v>49</v>
      </c>
    </row>
    <row r="142" spans="8:19" x14ac:dyDescent="0.3">
      <c r="H142" s="175">
        <v>0</v>
      </c>
      <c r="I142" s="175">
        <f>F7</f>
        <v>45</v>
      </c>
      <c r="J142" s="175">
        <f>VLOOKUP($I142,'IALM Comparison'!$AE$4:$AJ$118,2,FALSE)</f>
        <v>2.8739999999999998E-3</v>
      </c>
      <c r="K142" s="198">
        <f>VLOOKUP($I142,'IALM Comparison'!$AE$4:$AJ$118,3,FALSE)</f>
        <v>9507.9460005111614</v>
      </c>
      <c r="L142" s="198">
        <f>VLOOKUP($I142,'IALM Comparison'!$AE$4:$AJ$118,4,FALSE)</f>
        <v>27.325836805469077</v>
      </c>
      <c r="M142" s="199">
        <f>VLOOKUP($I142,'IALM Comparison'!$AE$4:$AJ$118,5,FALSE)</f>
        <v>0.99712599999999996</v>
      </c>
      <c r="O142" s="175">
        <v>0</v>
      </c>
      <c r="P142" s="200">
        <f t="shared" ref="P142:P151" si="40">v^O142</f>
        <v>1</v>
      </c>
      <c r="Q142" s="200">
        <v>1</v>
      </c>
      <c r="R142" s="200">
        <f>Q142*P142</f>
        <v>1</v>
      </c>
      <c r="S142" s="200">
        <f t="shared" ref="S142:S150" si="41">(S143*v)*(M142)+(v^0.5)*(L142/K142)</f>
        <v>3.3426102109029937E-2</v>
      </c>
    </row>
    <row r="143" spans="8:19" x14ac:dyDescent="0.3">
      <c r="H143" s="175">
        <v>1</v>
      </c>
      <c r="I143" s="175">
        <f>I142+1</f>
        <v>46</v>
      </c>
      <c r="J143" s="175">
        <f>VLOOKUP($I143,'IALM Comparison'!$AE$4:$AJ$118,2,FALSE)</f>
        <v>3.1970000000000002E-3</v>
      </c>
      <c r="K143" s="198">
        <f>VLOOKUP($I143,'IALM Comparison'!$AE$4:$AJ$118,3,FALSE)</f>
        <v>9480.6201637056929</v>
      </c>
      <c r="L143" s="198">
        <f>VLOOKUP($I143,'IALM Comparison'!$AE$4:$AJ$118,4,FALSE)</f>
        <v>30.3095426633671</v>
      </c>
      <c r="M143" s="199">
        <f>VLOOKUP($I143,'IALM Comparison'!$AE$4:$AJ$118,5,FALSE)</f>
        <v>0.99680299999999999</v>
      </c>
      <c r="O143" s="175">
        <v>1</v>
      </c>
      <c r="P143" s="200">
        <f t="shared" si="40"/>
        <v>0.93896713615023475</v>
      </c>
      <c r="Q143" s="200">
        <f t="shared" ref="Q143:Q152" si="42">Q142*M142</f>
        <v>0.99712599999999996</v>
      </c>
      <c r="R143" s="200">
        <f t="shared" ref="R143:R152" si="43">Q143*P143</f>
        <v>0.93626854460093889</v>
      </c>
      <c r="S143" s="200">
        <f t="shared" si="41"/>
        <v>3.272692133683186E-2</v>
      </c>
    </row>
    <row r="144" spans="8:19" x14ac:dyDescent="0.3">
      <c r="H144" s="175">
        <v>2</v>
      </c>
      <c r="I144" s="175">
        <f t="shared" ref="I144:I152" si="44">I143+1</f>
        <v>47</v>
      </c>
      <c r="J144" s="175">
        <f>VLOOKUP($I144,'IALM Comparison'!$AE$4:$AJ$118,2,FALSE)</f>
        <v>3.5669999999999999E-3</v>
      </c>
      <c r="K144" s="198">
        <f>VLOOKUP($I144,'IALM Comparison'!$AE$4:$AJ$118,3,FALSE)</f>
        <v>9450.3106210423266</v>
      </c>
      <c r="L144" s="198">
        <f>VLOOKUP($I144,'IALM Comparison'!$AE$4:$AJ$118,4,FALSE)</f>
        <v>33.709257985257977</v>
      </c>
      <c r="M144" s="199">
        <f>VLOOKUP($I144,'IALM Comparison'!$AE$4:$AJ$118,5,FALSE)</f>
        <v>0.99643300000000001</v>
      </c>
      <c r="O144" s="175">
        <v>2</v>
      </c>
      <c r="P144" s="200">
        <f t="shared" si="40"/>
        <v>0.88165928277017347</v>
      </c>
      <c r="Q144" s="200">
        <f t="shared" si="42"/>
        <v>0.99393818817799995</v>
      </c>
      <c r="R144" s="200">
        <f t="shared" si="43"/>
        <v>0.87631483010690114</v>
      </c>
      <c r="S144" s="200">
        <f t="shared" si="41"/>
        <v>3.1656108978759062E-2</v>
      </c>
    </row>
    <row r="145" spans="8:19" x14ac:dyDescent="0.3">
      <c r="H145" s="175">
        <v>3</v>
      </c>
      <c r="I145" s="175">
        <f t="shared" si="44"/>
        <v>48</v>
      </c>
      <c r="J145" s="175">
        <f>VLOOKUP($I145,'IALM Comparison'!$AE$4:$AJ$118,2,FALSE)</f>
        <v>3.9830000000000004E-3</v>
      </c>
      <c r="K145" s="198">
        <f>VLOOKUP($I145,'IALM Comparison'!$AE$4:$AJ$118,3,FALSE)</f>
        <v>9416.6013630570687</v>
      </c>
      <c r="L145" s="198">
        <f>VLOOKUP($I145,'IALM Comparison'!$AE$4:$AJ$118,4,FALSE)</f>
        <v>37.506323229056306</v>
      </c>
      <c r="M145" s="199">
        <f>VLOOKUP($I145,'IALM Comparison'!$AE$4:$AJ$118,5,FALSE)</f>
        <v>0.99601700000000004</v>
      </c>
      <c r="O145" s="175">
        <v>3</v>
      </c>
      <c r="P145" s="200">
        <f t="shared" si="40"/>
        <v>0.82784909180297983</v>
      </c>
      <c r="Q145" s="200">
        <f t="shared" si="42"/>
        <v>0.99039281066076901</v>
      </c>
      <c r="R145" s="200">
        <f t="shared" si="43"/>
        <v>0.81989578883371816</v>
      </c>
      <c r="S145" s="200">
        <f t="shared" si="41"/>
        <v>3.0140163502569921E-2</v>
      </c>
    </row>
    <row r="146" spans="8:19" x14ac:dyDescent="0.3">
      <c r="H146" s="175">
        <v>4</v>
      </c>
      <c r="I146" s="175">
        <f t="shared" si="44"/>
        <v>49</v>
      </c>
      <c r="J146" s="175">
        <f>VLOOKUP($I146,'IALM Comparison'!$AE$4:$AJ$118,2,FALSE)</f>
        <v>4.444E-3</v>
      </c>
      <c r="K146" s="198">
        <f>VLOOKUP($I146,'IALM Comparison'!$AE$4:$AJ$118,3,FALSE)</f>
        <v>9379.0950398280129</v>
      </c>
      <c r="L146" s="198">
        <f>VLOOKUP($I146,'IALM Comparison'!$AE$4:$AJ$118,4,FALSE)</f>
        <v>41.680698356995691</v>
      </c>
      <c r="M146" s="199">
        <f>VLOOKUP($I146,'IALM Comparison'!$AE$4:$AJ$118,5,FALSE)</f>
        <v>0.995556</v>
      </c>
      <c r="O146" s="175">
        <v>4</v>
      </c>
      <c r="P146" s="200">
        <f t="shared" si="40"/>
        <v>0.77732309089481666</v>
      </c>
      <c r="Q146" s="200">
        <f t="shared" si="42"/>
        <v>0.98644807609590723</v>
      </c>
      <c r="R146" s="200">
        <f t="shared" si="43"/>
        <v>0.76678886751811592</v>
      </c>
      <c r="S146" s="200">
        <f t="shared" si="41"/>
        <v>2.8100789890585575E-2</v>
      </c>
    </row>
    <row r="147" spans="8:19" x14ac:dyDescent="0.3">
      <c r="H147" s="175">
        <v>5</v>
      </c>
      <c r="I147" s="175">
        <f t="shared" si="44"/>
        <v>50</v>
      </c>
      <c r="J147" s="175">
        <f>VLOOKUP($I147,'IALM Comparison'!$AE$4:$AJ$118,2,FALSE)</f>
        <v>4.9459999999999999E-3</v>
      </c>
      <c r="K147" s="198">
        <f>VLOOKUP($I147,'IALM Comparison'!$AE$4:$AJ$118,3,FALSE)</f>
        <v>9337.4143414710179</v>
      </c>
      <c r="L147" s="198">
        <f>VLOOKUP($I147,'IALM Comparison'!$AE$4:$AJ$118,4,FALSE)</f>
        <v>46.182851332915654</v>
      </c>
      <c r="M147" s="199">
        <f>VLOOKUP($I147,'IALM Comparison'!$AE$4:$AJ$118,5,FALSE)</f>
        <v>0.99505399999999999</v>
      </c>
      <c r="O147" s="175">
        <v>5</v>
      </c>
      <c r="P147" s="200">
        <f t="shared" si="40"/>
        <v>0.72988083652095459</v>
      </c>
      <c r="Q147" s="200">
        <f t="shared" si="42"/>
        <v>0.98206430084573704</v>
      </c>
      <c r="R147" s="200">
        <f t="shared" si="43"/>
        <v>0.71678991341865295</v>
      </c>
      <c r="S147" s="200">
        <f t="shared" si="41"/>
        <v>2.5454303834423542E-2</v>
      </c>
    </row>
    <row r="148" spans="8:19" x14ac:dyDescent="0.3">
      <c r="H148" s="175">
        <v>6</v>
      </c>
      <c r="I148" s="175">
        <f t="shared" si="44"/>
        <v>51</v>
      </c>
      <c r="J148" s="175">
        <f>VLOOKUP($I148,'IALM Comparison'!$AE$4:$AJ$118,2,FALSE)</f>
        <v>5.483E-3</v>
      </c>
      <c r="K148" s="198">
        <f>VLOOKUP($I148,'IALM Comparison'!$AE$4:$AJ$118,3,FALSE)</f>
        <v>9291.2314901381014</v>
      </c>
      <c r="L148" s="198">
        <f>VLOOKUP($I148,'IALM Comparison'!$AE$4:$AJ$118,4,FALSE)</f>
        <v>50.943822260427211</v>
      </c>
      <c r="M148" s="199">
        <f>VLOOKUP($I148,'IALM Comparison'!$AE$4:$AJ$118,5,FALSE)</f>
        <v>0.99451699999999998</v>
      </c>
      <c r="O148" s="175">
        <v>6</v>
      </c>
      <c r="P148" s="200">
        <f t="shared" si="40"/>
        <v>0.6853341187990184</v>
      </c>
      <c r="Q148" s="200">
        <f t="shared" si="42"/>
        <v>0.97720701081375405</v>
      </c>
      <c r="R148" s="200">
        <f t="shared" si="43"/>
        <v>0.66971330564026699</v>
      </c>
      <c r="S148" s="200">
        <f t="shared" si="41"/>
        <v>2.2113994914459902E-2</v>
      </c>
    </row>
    <row r="149" spans="8:19" x14ac:dyDescent="0.3">
      <c r="H149" s="175">
        <v>7</v>
      </c>
      <c r="I149" s="175">
        <f t="shared" si="44"/>
        <v>52</v>
      </c>
      <c r="J149" s="175">
        <f>VLOOKUP($I149,'IALM Comparison'!$AE$4:$AJ$118,2,FALSE)</f>
        <v>6.051E-3</v>
      </c>
      <c r="K149" s="198">
        <f>VLOOKUP($I149,'IALM Comparison'!$AE$4:$AJ$118,3,FALSE)</f>
        <v>9240.2876678776738</v>
      </c>
      <c r="L149" s="198">
        <f>VLOOKUP($I149,'IALM Comparison'!$AE$4:$AJ$118,4,FALSE)</f>
        <v>55.912980678327806</v>
      </c>
      <c r="M149" s="199">
        <f>VLOOKUP($I149,'IALM Comparison'!$AE$4:$AJ$118,5,FALSE)</f>
        <v>0.99394899999999997</v>
      </c>
      <c r="O149" s="175">
        <v>7</v>
      </c>
      <c r="P149" s="200">
        <f t="shared" si="40"/>
        <v>0.64350621483475912</v>
      </c>
      <c r="Q149" s="200">
        <f t="shared" si="42"/>
        <v>0.97184898477346227</v>
      </c>
      <c r="R149" s="200">
        <f t="shared" si="43"/>
        <v>0.62539086158257418</v>
      </c>
      <c r="S149" s="200">
        <f t="shared" si="41"/>
        <v>1.7991660615226217E-2</v>
      </c>
    </row>
    <row r="150" spans="8:19" x14ac:dyDescent="0.3">
      <c r="H150" s="175">
        <v>8</v>
      </c>
      <c r="I150" s="175">
        <f t="shared" si="44"/>
        <v>53</v>
      </c>
      <c r="J150" s="175">
        <f>VLOOKUP($I150,'IALM Comparison'!$AE$4:$AJ$118,2,FALSE)</f>
        <v>6.6429999999999996E-3</v>
      </c>
      <c r="K150" s="198">
        <f>VLOOKUP($I150,'IALM Comparison'!$AE$4:$AJ$118,3,FALSE)</f>
        <v>9184.3746871993462</v>
      </c>
      <c r="L150" s="198">
        <f>VLOOKUP($I150,'IALM Comparison'!$AE$4:$AJ$118,4,FALSE)</f>
        <v>61.011801047065255</v>
      </c>
      <c r="M150" s="199">
        <f>VLOOKUP($I150,'IALM Comparison'!$AE$4:$AJ$118,5,FALSE)</f>
        <v>0.99335700000000005</v>
      </c>
      <c r="O150" s="175">
        <v>8</v>
      </c>
      <c r="P150" s="200">
        <f t="shared" si="40"/>
        <v>0.60423118763827144</v>
      </c>
      <c r="Q150" s="200">
        <f t="shared" si="42"/>
        <v>0.96596832656659803</v>
      </c>
      <c r="R150" s="200">
        <f t="shared" si="43"/>
        <v>0.58366818918228913</v>
      </c>
      <c r="S150" s="200">
        <f t="shared" si="41"/>
        <v>1.299519081570325E-2</v>
      </c>
    </row>
    <row r="151" spans="8:19" x14ac:dyDescent="0.3">
      <c r="H151" s="175">
        <v>9</v>
      </c>
      <c r="I151" s="175">
        <f t="shared" si="44"/>
        <v>54</v>
      </c>
      <c r="J151" s="175">
        <f>VLOOKUP($I151,'IALM Comparison'!$AE$4:$AJ$118,2,FALSE)</f>
        <v>7.2560000000000003E-3</v>
      </c>
      <c r="K151" s="198">
        <f>VLOOKUP($I151,'IALM Comparison'!$AE$4:$AJ$118,3,FALSE)</f>
        <v>9123.3628861522811</v>
      </c>
      <c r="L151" s="198">
        <f>VLOOKUP($I151,'IALM Comparison'!$AE$4:$AJ$118,4,FALSE)</f>
        <v>66.199121101920952</v>
      </c>
      <c r="M151" s="199">
        <f>VLOOKUP($I151,'IALM Comparison'!$AE$4:$AJ$118,5,FALSE)</f>
        <v>0.99274399999999996</v>
      </c>
      <c r="O151" s="175">
        <v>9</v>
      </c>
      <c r="P151" s="200">
        <f t="shared" si="40"/>
        <v>0.56735322782936282</v>
      </c>
      <c r="Q151" s="200">
        <f t="shared" si="42"/>
        <v>0.95955139897321617</v>
      </c>
      <c r="R151" s="200">
        <f t="shared" si="43"/>
        <v>0.54440458347563492</v>
      </c>
      <c r="S151" s="200">
        <f>(v^0.5)*(L151/K151)</f>
        <v>7.0310869741142222E-3</v>
      </c>
    </row>
    <row r="152" spans="8:19" x14ac:dyDescent="0.3">
      <c r="H152" s="175">
        <v>10</v>
      </c>
      <c r="I152" s="175">
        <f t="shared" si="44"/>
        <v>55</v>
      </c>
      <c r="J152" s="175">
        <f>VLOOKUP($I152,'IALM Comparison'!$AE$4:$AJ$118,2,FALSE)</f>
        <v>7.8879999999999992E-3</v>
      </c>
      <c r="K152" s="198">
        <f>VLOOKUP($I152,'IALM Comparison'!$AE$4:$AJ$118,3,FALSE)</f>
        <v>9057.1637650503599</v>
      </c>
      <c r="L152" s="198">
        <f>VLOOKUP($I152,'IALM Comparison'!$AE$4:$AJ$118,4,FALSE)</f>
        <v>71.442907778717228</v>
      </c>
      <c r="M152" s="199">
        <f>VLOOKUP($I152,'IALM Comparison'!$AE$4:$AJ$118,5,FALSE)</f>
        <v>0.99211199999999999</v>
      </c>
      <c r="O152" s="175">
        <v>10</v>
      </c>
      <c r="P152" s="200">
        <v>0</v>
      </c>
      <c r="Q152" s="200">
        <f t="shared" si="42"/>
        <v>0.95258889402226643</v>
      </c>
      <c r="R152" s="200">
        <f t="shared" si="43"/>
        <v>0</v>
      </c>
      <c r="S152" s="200">
        <v>0</v>
      </c>
    </row>
    <row r="154" spans="8:19" x14ac:dyDescent="0.3">
      <c r="H154" s="224" t="s">
        <v>50</v>
      </c>
      <c r="I154" s="224"/>
      <c r="J154" s="224"/>
      <c r="K154" s="224"/>
      <c r="L154" s="224"/>
      <c r="M154" s="224"/>
    </row>
    <row r="155" spans="8:19" x14ac:dyDescent="0.3">
      <c r="H155" s="175" t="s">
        <v>40</v>
      </c>
      <c r="I155" s="175" t="s">
        <v>41</v>
      </c>
      <c r="J155" s="197"/>
      <c r="K155" s="197"/>
      <c r="L155" s="197"/>
      <c r="M155" s="197"/>
      <c r="O155" s="175" t="s">
        <v>40</v>
      </c>
      <c r="P155" s="175" t="s">
        <v>46</v>
      </c>
      <c r="Q155" s="175" t="s">
        <v>48</v>
      </c>
      <c r="R155" s="175" t="s">
        <v>47</v>
      </c>
      <c r="S155" s="175" t="s">
        <v>49</v>
      </c>
    </row>
    <row r="156" spans="8:19" x14ac:dyDescent="0.3">
      <c r="H156" s="175">
        <v>0</v>
      </c>
      <c r="I156" s="175">
        <f>F7</f>
        <v>45</v>
      </c>
      <c r="J156" s="175">
        <f>VLOOKUP($I156,'IALM Comparison'!$AL$4:$AQ$118,2,FALSE)</f>
        <v>2.5790000000000001E-3</v>
      </c>
      <c r="K156" s="175">
        <f>VLOOKUP($I156,'IALM Comparison'!$AL$4:$AQ$118,3,FALSE)</f>
        <v>9606.0136572074953</v>
      </c>
      <c r="L156" s="175">
        <f>VLOOKUP($I156,'IALM Comparison'!$AL$4:$AQ$118,4,FALSE)</f>
        <v>24.77390922193813</v>
      </c>
      <c r="M156" s="175">
        <f>VLOOKUP($I156,'IALM Comparison'!$AL$4:$AQ$118,5,FALSE)</f>
        <v>0.997421</v>
      </c>
      <c r="O156" s="175">
        <v>0</v>
      </c>
      <c r="P156" s="200">
        <f t="shared" ref="P156:P165" si="45">v^O156</f>
        <v>1</v>
      </c>
      <c r="Q156" s="200">
        <v>1</v>
      </c>
      <c r="R156" s="200">
        <f>Q156*P156</f>
        <v>1</v>
      </c>
      <c r="S156" s="200">
        <f t="shared" ref="S156:S164" si="46">(S157*v)*(M156)+(v^0.5)*(L156/K156)</f>
        <v>3.0351211637964587E-2</v>
      </c>
    </row>
    <row r="157" spans="8:19" x14ac:dyDescent="0.3">
      <c r="H157" s="175">
        <v>1</v>
      </c>
      <c r="I157" s="175">
        <f>I156+1</f>
        <v>46</v>
      </c>
      <c r="J157" s="175">
        <f>VLOOKUP($I157,'IALM Comparison'!$AL$4:$AQ$118,2,FALSE)</f>
        <v>2.8509999999999998E-3</v>
      </c>
      <c r="K157" s="175">
        <f>VLOOKUP($I157,'IALM Comparison'!$AL$4:$AQ$118,3,FALSE)</f>
        <v>9581.2397479855572</v>
      </c>
      <c r="L157" s="175">
        <f>VLOOKUP($I157,'IALM Comparison'!$AL$4:$AQ$118,4,FALSE)</f>
        <v>27.316114521506822</v>
      </c>
      <c r="M157" s="175">
        <f>VLOOKUP($I157,'IALM Comparison'!$AL$4:$AQ$118,5,FALSE)</f>
        <v>0.99714899999999995</v>
      </c>
      <c r="O157" s="175">
        <v>1</v>
      </c>
      <c r="P157" s="200">
        <f t="shared" si="45"/>
        <v>0.93896713615023475</v>
      </c>
      <c r="Q157" s="200">
        <f t="shared" ref="Q157:Q166" si="47">Q156*M156</f>
        <v>0.997421</v>
      </c>
      <c r="R157" s="200">
        <f t="shared" ref="R157:R164" si="48">Q157*P157</f>
        <v>0.93654553990610334</v>
      </c>
      <c r="S157" s="200">
        <f t="shared" si="46"/>
        <v>2.9739239882630625E-2</v>
      </c>
    </row>
    <row r="158" spans="8:19" x14ac:dyDescent="0.3">
      <c r="H158" s="175">
        <v>2</v>
      </c>
      <c r="I158" s="175">
        <f t="shared" ref="I158:I166" si="49">I157+1</f>
        <v>47</v>
      </c>
      <c r="J158" s="175">
        <f>VLOOKUP($I158,'IALM Comparison'!$AL$4:$AQ$118,2,FALSE)</f>
        <v>3.1679999999999998E-3</v>
      </c>
      <c r="K158" s="175">
        <f>VLOOKUP($I158,'IALM Comparison'!$AL$4:$AQ$118,3,FALSE)</f>
        <v>9553.92363346405</v>
      </c>
      <c r="L158" s="175">
        <f>VLOOKUP($I158,'IALM Comparison'!$AL$4:$AQ$118,4,FALSE)</f>
        <v>30.266830070814109</v>
      </c>
      <c r="M158" s="175">
        <f>VLOOKUP($I158,'IALM Comparison'!$AL$4:$AQ$118,5,FALSE)</f>
        <v>0.99683200000000005</v>
      </c>
      <c r="O158" s="175">
        <v>2</v>
      </c>
      <c r="P158" s="200">
        <f t="shared" si="45"/>
        <v>0.88165928277017347</v>
      </c>
      <c r="Q158" s="200">
        <f t="shared" si="47"/>
        <v>0.99457735272899994</v>
      </c>
      <c r="R158" s="200">
        <f t="shared" si="48"/>
        <v>0.87687835546650794</v>
      </c>
      <c r="S158" s="200">
        <f t="shared" si="46"/>
        <v>2.8812235309217754E-2</v>
      </c>
    </row>
    <row r="159" spans="8:19" x14ac:dyDescent="0.3">
      <c r="H159" s="175">
        <v>3</v>
      </c>
      <c r="I159" s="175">
        <f t="shared" si="49"/>
        <v>48</v>
      </c>
      <c r="J159" s="175">
        <f>VLOOKUP($I159,'IALM Comparison'!$AL$4:$AQ$118,2,FALSE)</f>
        <v>3.5360000000000001E-3</v>
      </c>
      <c r="K159" s="175">
        <f>VLOOKUP($I159,'IALM Comparison'!$AL$4:$AQ$118,3,FALSE)</f>
        <v>9523.6568033932363</v>
      </c>
      <c r="L159" s="175">
        <f>VLOOKUP($I159,'IALM Comparison'!$AL$4:$AQ$118,4,FALSE)</f>
        <v>33.675650456798486</v>
      </c>
      <c r="M159" s="175">
        <f>VLOOKUP($I159,'IALM Comparison'!$AL$4:$AQ$118,5,FALSE)</f>
        <v>0.99646400000000002</v>
      </c>
      <c r="O159" s="175">
        <v>3</v>
      </c>
      <c r="P159" s="200">
        <f t="shared" si="45"/>
        <v>0.82784909180297983</v>
      </c>
      <c r="Q159" s="200">
        <f t="shared" si="47"/>
        <v>0.9914265316755545</v>
      </c>
      <c r="R159" s="200">
        <f t="shared" si="48"/>
        <v>0.82075155383698606</v>
      </c>
      <c r="S159" s="200">
        <f t="shared" si="46"/>
        <v>2.7502820376687085E-2</v>
      </c>
    </row>
    <row r="160" spans="8:19" x14ac:dyDescent="0.3">
      <c r="H160" s="175">
        <v>4</v>
      </c>
      <c r="I160" s="175">
        <f t="shared" si="49"/>
        <v>49</v>
      </c>
      <c r="J160" s="175">
        <f>VLOOKUP($I160,'IALM Comparison'!$AL$4:$AQ$118,2,FALSE)</f>
        <v>3.9579999999999997E-3</v>
      </c>
      <c r="K160" s="175">
        <f>VLOOKUP($I160,'IALM Comparison'!$AL$4:$AQ$118,3,FALSE)</f>
        <v>9489.9811529364379</v>
      </c>
      <c r="L160" s="175">
        <f>VLOOKUP($I160,'IALM Comparison'!$AL$4:$AQ$118,4,FALSE)</f>
        <v>37.56134540332242</v>
      </c>
      <c r="M160" s="175">
        <f>VLOOKUP($I160,'IALM Comparison'!$AL$4:$AQ$118,5,FALSE)</f>
        <v>0.99604199999999998</v>
      </c>
      <c r="O160" s="175">
        <v>4</v>
      </c>
      <c r="P160" s="200">
        <f t="shared" si="45"/>
        <v>0.77732309089481666</v>
      </c>
      <c r="Q160" s="200">
        <f t="shared" si="47"/>
        <v>0.98792084745954978</v>
      </c>
      <c r="R160" s="200">
        <f t="shared" si="48"/>
        <v>0.76793368670668394</v>
      </c>
      <c r="S160" s="200">
        <f t="shared" si="46"/>
        <v>2.5732382522281237E-2</v>
      </c>
    </row>
    <row r="161" spans="8:19" x14ac:dyDescent="0.3">
      <c r="H161" s="175">
        <v>5</v>
      </c>
      <c r="I161" s="175">
        <f t="shared" si="49"/>
        <v>50</v>
      </c>
      <c r="J161" s="175">
        <f>VLOOKUP($I161,'IALM Comparison'!$AL$4:$AQ$118,2,FALSE)</f>
        <v>4.4359999999999998E-3</v>
      </c>
      <c r="K161" s="175">
        <f>VLOOKUP($I161,'IALM Comparison'!$AL$4:$AQ$118,3,FALSE)</f>
        <v>9452.4198075331151</v>
      </c>
      <c r="L161" s="175">
        <f>VLOOKUP($I161,'IALM Comparison'!$AL$4:$AQ$118,4,FALSE)</f>
        <v>41.930934266216894</v>
      </c>
      <c r="M161" s="175">
        <f>VLOOKUP($I161,'IALM Comparison'!$AL$4:$AQ$118,5,FALSE)</f>
        <v>0.995564</v>
      </c>
      <c r="O161" s="175">
        <v>5</v>
      </c>
      <c r="P161" s="200">
        <f t="shared" si="45"/>
        <v>0.72988083652095459</v>
      </c>
      <c r="Q161" s="200">
        <f t="shared" si="47"/>
        <v>0.98401065674530486</v>
      </c>
      <c r="R161" s="200">
        <f t="shared" si="48"/>
        <v>0.71821052129079699</v>
      </c>
      <c r="S161" s="200">
        <f t="shared" si="46"/>
        <v>2.3413046246789408E-2</v>
      </c>
    </row>
    <row r="162" spans="8:19" x14ac:dyDescent="0.3">
      <c r="H162" s="175">
        <v>6</v>
      </c>
      <c r="I162" s="175">
        <f t="shared" si="49"/>
        <v>51</v>
      </c>
      <c r="J162" s="175">
        <f>VLOOKUP($I162,'IALM Comparison'!$AL$4:$AQ$118,2,FALSE)</f>
        <v>4.9690000000000003E-3</v>
      </c>
      <c r="K162" s="175">
        <f>VLOOKUP($I162,'IALM Comparison'!$AL$4:$AQ$118,3,FALSE)</f>
        <v>9410.4888732668987</v>
      </c>
      <c r="L162" s="175">
        <f>VLOOKUP($I162,'IALM Comparison'!$AL$4:$AQ$118,4,FALSE)</f>
        <v>46.760719211263222</v>
      </c>
      <c r="M162" s="175">
        <f>VLOOKUP($I162,'IALM Comparison'!$AL$4:$AQ$118,5,FALSE)</f>
        <v>0.995031</v>
      </c>
      <c r="O162" s="175">
        <v>6</v>
      </c>
      <c r="P162" s="200">
        <f t="shared" si="45"/>
        <v>0.6853341187990184</v>
      </c>
      <c r="Q162" s="200">
        <f t="shared" si="47"/>
        <v>0.97964558547198266</v>
      </c>
      <c r="R162" s="200">
        <f t="shared" si="48"/>
        <v>0.67138454405478964</v>
      </c>
      <c r="S162" s="200">
        <f t="shared" si="46"/>
        <v>2.0447699830966837E-2</v>
      </c>
    </row>
    <row r="163" spans="8:19" x14ac:dyDescent="0.3">
      <c r="H163" s="175">
        <v>7</v>
      </c>
      <c r="I163" s="175">
        <f t="shared" si="49"/>
        <v>52</v>
      </c>
      <c r="J163" s="175">
        <f>VLOOKUP($I163,'IALM Comparison'!$AL$4:$AQ$118,2,FALSE)</f>
        <v>5.5500000000000002E-3</v>
      </c>
      <c r="K163" s="175">
        <f>VLOOKUP($I163,'IALM Comparison'!$AL$4:$AQ$118,3,FALSE)</f>
        <v>9363.728154055636</v>
      </c>
      <c r="L163" s="175">
        <f>VLOOKUP($I163,'IALM Comparison'!$AL$4:$AQ$118,4,FALSE)</f>
        <v>51.968691255008785</v>
      </c>
      <c r="M163" s="175">
        <f>VLOOKUP($I163,'IALM Comparison'!$AL$4:$AQ$118,5,FALSE)</f>
        <v>0.99444999999999995</v>
      </c>
      <c r="O163" s="175">
        <v>7</v>
      </c>
      <c r="P163" s="200">
        <f t="shared" si="45"/>
        <v>0.64350621483475912</v>
      </c>
      <c r="Q163" s="200">
        <f t="shared" si="47"/>
        <v>0.97477772655777239</v>
      </c>
      <c r="R163" s="200">
        <f t="shared" si="48"/>
        <v>0.6272755251224239</v>
      </c>
      <c r="S163" s="200">
        <f t="shared" si="46"/>
        <v>1.6731991364464988E-2</v>
      </c>
    </row>
    <row r="164" spans="8:19" x14ac:dyDescent="0.3">
      <c r="H164" s="175">
        <v>8</v>
      </c>
      <c r="I164" s="175">
        <f t="shared" si="49"/>
        <v>53</v>
      </c>
      <c r="J164" s="175">
        <f>VLOOKUP($I164,'IALM Comparison'!$AL$4:$AQ$118,2,FALSE)</f>
        <v>6.1739999999999998E-3</v>
      </c>
      <c r="K164" s="175">
        <f>VLOOKUP($I164,'IALM Comparison'!$AL$4:$AQ$118,3,FALSE)</f>
        <v>9311.7594628006264</v>
      </c>
      <c r="L164" s="175">
        <f>VLOOKUP($I164,'IALM Comparison'!$AL$4:$AQ$118,4,FALSE)</f>
        <v>57.490802923331067</v>
      </c>
      <c r="M164" s="175">
        <f>VLOOKUP($I164,'IALM Comparison'!$AL$4:$AQ$118,5,FALSE)</f>
        <v>0.99382599999999999</v>
      </c>
      <c r="O164" s="175">
        <v>8</v>
      </c>
      <c r="P164" s="200">
        <f t="shared" si="45"/>
        <v>0.60423118763827144</v>
      </c>
      <c r="Q164" s="200">
        <f t="shared" si="47"/>
        <v>0.96936771017537671</v>
      </c>
      <c r="R164" s="200">
        <f t="shared" si="48"/>
        <v>0.58572220277745957</v>
      </c>
      <c r="S164" s="200">
        <f t="shared" si="46"/>
        <v>1.2159520678166332E-2</v>
      </c>
    </row>
    <row r="165" spans="8:19" x14ac:dyDescent="0.3">
      <c r="H165" s="175">
        <v>9</v>
      </c>
      <c r="I165" s="175">
        <f t="shared" si="49"/>
        <v>54</v>
      </c>
      <c r="J165" s="175">
        <f>VLOOKUP($I165,'IALM Comparison'!$AL$4:$AQ$118,2,FALSE)</f>
        <v>6.8310000000000003E-3</v>
      </c>
      <c r="K165" s="175">
        <f>VLOOKUP($I165,'IALM Comparison'!$AL$4:$AQ$118,3,FALSE)</f>
        <v>9254.2686598772962</v>
      </c>
      <c r="L165" s="175">
        <f>VLOOKUP($I165,'IALM Comparison'!$AL$4:$AQ$118,4,FALSE)</f>
        <v>63.215909215621814</v>
      </c>
      <c r="M165" s="175">
        <f>VLOOKUP($I165,'IALM Comparison'!$AL$4:$AQ$118,5,FALSE)</f>
        <v>0.99316899999999997</v>
      </c>
      <c r="O165" s="175">
        <v>9</v>
      </c>
      <c r="P165" s="200">
        <f t="shared" si="45"/>
        <v>0.56735322782936282</v>
      </c>
      <c r="Q165" s="200">
        <f t="shared" si="47"/>
        <v>0.96338283393275392</v>
      </c>
      <c r="R165" s="200">
        <f>Q165*P165</f>
        <v>0.54657836046714692</v>
      </c>
      <c r="S165" s="200">
        <f>(v^0.5)*(L165/K165)</f>
        <v>6.6192606284694389E-3</v>
      </c>
    </row>
    <row r="166" spans="8:19" x14ac:dyDescent="0.3">
      <c r="H166" s="175">
        <v>10</v>
      </c>
      <c r="I166" s="175">
        <f t="shared" si="49"/>
        <v>55</v>
      </c>
      <c r="J166" s="175">
        <f>VLOOKUP($I166,'IALM Comparison'!$AL$4:$AQ$118,2,FALSE)</f>
        <v>7.5129999999999997E-3</v>
      </c>
      <c r="K166" s="175">
        <f>VLOOKUP($I166,'IALM Comparison'!$AL$4:$AQ$118,3,FALSE)</f>
        <v>9191.0527506616745</v>
      </c>
      <c r="L166" s="175">
        <f>VLOOKUP($I166,'IALM Comparison'!$AL$4:$AQ$118,4,FALSE)</f>
        <v>69.052379315721154</v>
      </c>
      <c r="M166" s="175">
        <f>VLOOKUP($I166,'IALM Comparison'!$AL$4:$AQ$118,5,FALSE)</f>
        <v>0.99248700000000001</v>
      </c>
      <c r="O166" s="175">
        <v>10</v>
      </c>
      <c r="P166" s="200">
        <v>0</v>
      </c>
      <c r="Q166" s="200">
        <f t="shared" si="47"/>
        <v>0.95680196579415921</v>
      </c>
      <c r="R166" s="200">
        <f>Q166*P166</f>
        <v>0</v>
      </c>
      <c r="S166" s="200">
        <v>0</v>
      </c>
    </row>
  </sheetData>
  <mergeCells count="19">
    <mergeCell ref="I2:L3"/>
    <mergeCell ref="H12:M12"/>
    <mergeCell ref="H26:M26"/>
    <mergeCell ref="I9:J10"/>
    <mergeCell ref="D14:F15"/>
    <mergeCell ref="D17:F17"/>
    <mergeCell ref="D21:F21"/>
    <mergeCell ref="I41:J42"/>
    <mergeCell ref="H44:M44"/>
    <mergeCell ref="H58:M58"/>
    <mergeCell ref="I73:J74"/>
    <mergeCell ref="H76:M76"/>
    <mergeCell ref="H140:M140"/>
    <mergeCell ref="H154:M154"/>
    <mergeCell ref="H90:M90"/>
    <mergeCell ref="I105:J106"/>
    <mergeCell ref="H108:M108"/>
    <mergeCell ref="H122:M122"/>
    <mergeCell ref="I137:J138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5"/>
  <sheetViews>
    <sheetView showGridLines="0" zoomScaleNormal="100" workbookViewId="0">
      <selection activeCell="F8" sqref="F8"/>
    </sheetView>
  </sheetViews>
  <sheetFormatPr defaultRowHeight="14.4" x14ac:dyDescent="0.3"/>
  <cols>
    <col min="2" max="2" width="19.77734375" bestFit="1" customWidth="1"/>
    <col min="3" max="3" width="10.44140625" bestFit="1" customWidth="1"/>
    <col min="5" max="5" width="19.77734375" bestFit="1" customWidth="1"/>
    <col min="6" max="6" width="10.44140625" customWidth="1"/>
    <col min="8" max="8" width="19.77734375" bestFit="1" customWidth="1"/>
    <col min="9" max="9" width="10.44140625" bestFit="1" customWidth="1"/>
    <col min="11" max="11" width="19.77734375" bestFit="1" customWidth="1"/>
    <col min="12" max="12" width="11.88671875" bestFit="1" customWidth="1"/>
    <col min="14" max="14" width="19.77734375" bestFit="1" customWidth="1"/>
    <col min="15" max="15" width="11.88671875" bestFit="1" customWidth="1"/>
  </cols>
  <sheetData>
    <row r="1" spans="2:15" ht="15" thickBot="1" x14ac:dyDescent="0.35"/>
    <row r="2" spans="2:15" s="36" customFormat="1" x14ac:dyDescent="0.3">
      <c r="B2" s="237" t="s">
        <v>39</v>
      </c>
      <c r="C2" s="238"/>
      <c r="E2" s="237" t="s">
        <v>53</v>
      </c>
      <c r="F2" s="238"/>
      <c r="H2" s="237" t="s">
        <v>54</v>
      </c>
      <c r="I2" s="238"/>
      <c r="K2" s="237" t="s">
        <v>57</v>
      </c>
      <c r="L2" s="238"/>
      <c r="N2" s="237" t="s">
        <v>58</v>
      </c>
      <c r="O2" s="238"/>
    </row>
    <row r="3" spans="2:15" s="36" customFormat="1" ht="15" thickBot="1" x14ac:dyDescent="0.35">
      <c r="B3" s="239"/>
      <c r="C3" s="240"/>
      <c r="E3" s="239"/>
      <c r="F3" s="240"/>
      <c r="H3" s="239"/>
      <c r="I3" s="240"/>
      <c r="K3" s="239"/>
      <c r="L3" s="240"/>
      <c r="N3" s="239"/>
      <c r="O3" s="240"/>
    </row>
    <row r="4" spans="2:15" s="36" customFormat="1" ht="15.6" customHeight="1" x14ac:dyDescent="0.3">
      <c r="B4" s="37"/>
      <c r="C4" s="38"/>
      <c r="E4" s="37"/>
      <c r="F4" s="38"/>
      <c r="H4" s="37"/>
      <c r="I4" s="38"/>
      <c r="K4" s="37"/>
      <c r="L4" s="38"/>
      <c r="N4" s="37"/>
      <c r="O4" s="38"/>
    </row>
    <row r="5" spans="2:15" ht="14.4" customHeight="1" thickBot="1" x14ac:dyDescent="0.35">
      <c r="B5" s="39"/>
      <c r="C5" s="40"/>
      <c r="E5" s="39"/>
      <c r="F5" s="40"/>
      <c r="H5" s="39"/>
      <c r="I5" s="40"/>
      <c r="K5" s="39"/>
      <c r="L5" s="40"/>
      <c r="N5" s="39"/>
      <c r="O5" s="40"/>
    </row>
    <row r="6" spans="2:15" ht="16.2" thickBot="1" x14ac:dyDescent="0.35">
      <c r="B6" s="235" t="s">
        <v>72</v>
      </c>
      <c r="C6" s="236"/>
      <c r="E6" s="235" t="s">
        <v>72</v>
      </c>
      <c r="F6" s="236"/>
      <c r="H6" s="235" t="s">
        <v>72</v>
      </c>
      <c r="I6" s="236"/>
      <c r="K6" s="235" t="s">
        <v>72</v>
      </c>
      <c r="L6" s="236"/>
      <c r="N6" s="235" t="s">
        <v>72</v>
      </c>
      <c r="O6" s="236"/>
    </row>
    <row r="7" spans="2:15" x14ac:dyDescent="0.3">
      <c r="B7" s="41" t="s">
        <v>66</v>
      </c>
      <c r="C7" s="51">
        <f>SUM(Calculations!R14:R24)</f>
        <v>7.625102336535849</v>
      </c>
      <c r="E7" s="41" t="s">
        <v>66</v>
      </c>
      <c r="F7" s="51">
        <f>SUM(Calculations!R46:R56)</f>
        <v>7.6207313591543624</v>
      </c>
      <c r="H7" s="41" t="s">
        <v>66</v>
      </c>
      <c r="I7" s="51">
        <f>SUM(Calculations!R78:R88)</f>
        <v>7.6095072540253135</v>
      </c>
      <c r="K7" s="41" t="s">
        <v>66</v>
      </c>
      <c r="L7" s="49">
        <f>SUM(Calculations!R110:R120)</f>
        <v>7.5857897403294379</v>
      </c>
      <c r="N7" s="41" t="s">
        <v>66</v>
      </c>
      <c r="O7" s="51">
        <f>SUM(Calculations!R142:R152)</f>
        <v>7.5392348843590922</v>
      </c>
    </row>
    <row r="8" spans="2:15" x14ac:dyDescent="0.3">
      <c r="B8" s="42" t="s">
        <v>67</v>
      </c>
      <c r="C8" s="52">
        <f>Calculations!S14</f>
        <v>7.7927800037131956E-3</v>
      </c>
      <c r="E8" s="42" t="s">
        <v>67</v>
      </c>
      <c r="F8" s="52">
        <f>Calculations!S46</f>
        <v>9.3029472389724241E-3</v>
      </c>
      <c r="H8" s="42" t="s">
        <v>67</v>
      </c>
      <c r="I8" s="52">
        <f>Calculations!S78</f>
        <v>1.2831474975998054E-2</v>
      </c>
      <c r="K8" s="42" t="s">
        <v>67</v>
      </c>
      <c r="L8" s="50">
        <f>Calculations!S110</f>
        <v>2.0119273805093131E-2</v>
      </c>
      <c r="N8" s="42" t="s">
        <v>67</v>
      </c>
      <c r="O8" s="52">
        <f>Calculations!S142</f>
        <v>3.3426102109029937E-2</v>
      </c>
    </row>
    <row r="9" spans="2:15" x14ac:dyDescent="0.3">
      <c r="B9" s="43"/>
      <c r="C9" s="44"/>
      <c r="E9" s="43"/>
      <c r="F9" s="44"/>
      <c r="H9" s="43"/>
      <c r="I9" s="44"/>
      <c r="K9" s="43"/>
      <c r="L9" s="44"/>
      <c r="N9" s="43"/>
      <c r="O9" s="44"/>
    </row>
    <row r="10" spans="2:15" x14ac:dyDescent="0.3">
      <c r="B10" s="42" t="s">
        <v>68</v>
      </c>
      <c r="C10" s="47">
        <f>C8*sum_assured</f>
        <v>38963.900018565975</v>
      </c>
      <c r="E10" s="42" t="s">
        <v>68</v>
      </c>
      <c r="F10" s="47">
        <f>sum_assured*F8</f>
        <v>46514.736194862118</v>
      </c>
      <c r="H10" s="42" t="s">
        <v>68</v>
      </c>
      <c r="I10" s="47">
        <f>sum_assured*I8</f>
        <v>64157.374879990268</v>
      </c>
      <c r="K10" s="42" t="s">
        <v>68</v>
      </c>
      <c r="L10" s="47">
        <f>sum_assured*L8</f>
        <v>100596.36902546565</v>
      </c>
      <c r="N10" s="42" t="s">
        <v>68</v>
      </c>
      <c r="O10" s="47">
        <f>sum_assured*O8</f>
        <v>167130.51054514968</v>
      </c>
    </row>
    <row r="11" spans="2:15" x14ac:dyDescent="0.3">
      <c r="B11" s="42" t="s">
        <v>69</v>
      </c>
      <c r="C11" s="47">
        <f>in_exp+re_exp*(C7-1)</f>
        <v>2331.2551168267923</v>
      </c>
      <c r="E11" s="42" t="s">
        <v>69</v>
      </c>
      <c r="F11" s="47">
        <f>in_exp+re_exp*(F7-1)</f>
        <v>2331.036567957718</v>
      </c>
      <c r="H11" s="42" t="s">
        <v>69</v>
      </c>
      <c r="I11" s="47">
        <f>in_exp+re_exp*(I7-1)</f>
        <v>2330.4753627012656</v>
      </c>
      <c r="K11" s="42" t="s">
        <v>69</v>
      </c>
      <c r="L11" s="47">
        <f>in_exp+re_exp*(L7-1)</f>
        <v>2329.2894870164719</v>
      </c>
      <c r="N11" s="42" t="s">
        <v>69</v>
      </c>
      <c r="O11" s="47">
        <f>in_exp+re_exp*(O7-1)</f>
        <v>2326.9617442179547</v>
      </c>
    </row>
    <row r="12" spans="2:15" x14ac:dyDescent="0.3">
      <c r="B12" s="42" t="s">
        <v>70</v>
      </c>
      <c r="C12" s="47">
        <f>in_com+re_com*(C7-1)</f>
        <v>1765.004093461434</v>
      </c>
      <c r="E12" s="42" t="s">
        <v>70</v>
      </c>
      <c r="F12" s="47">
        <f>in_com+re_com*(F7-1)</f>
        <v>1764.8292543661746</v>
      </c>
      <c r="H12" s="42" t="s">
        <v>70</v>
      </c>
      <c r="I12" s="47">
        <f>in_com+re_com*(I7-1)</f>
        <v>1764.3802901610125</v>
      </c>
      <c r="K12" s="42" t="s">
        <v>70</v>
      </c>
      <c r="L12" s="47">
        <f>in_com+re_com*(L7-1)</f>
        <v>1763.4315896131775</v>
      </c>
      <c r="N12" s="42" t="s">
        <v>70</v>
      </c>
      <c r="O12" s="47">
        <f>in_com+re_com*(O7-1)</f>
        <v>1761.5693953743637</v>
      </c>
    </row>
    <row r="13" spans="2:15" x14ac:dyDescent="0.3">
      <c r="B13" s="43"/>
      <c r="C13" s="48"/>
      <c r="E13" s="43"/>
      <c r="F13" s="48"/>
      <c r="H13" s="43"/>
      <c r="I13" s="48"/>
      <c r="K13" s="43"/>
      <c r="L13" s="48"/>
      <c r="N13" s="43"/>
      <c r="O13" s="48"/>
    </row>
    <row r="14" spans="2:15" s="54" customFormat="1" x14ac:dyDescent="0.3">
      <c r="B14" s="53" t="s">
        <v>71</v>
      </c>
      <c r="C14" s="63">
        <f>SUM(C10:C12)/C7</f>
        <v>5647.1582056716124</v>
      </c>
      <c r="E14" s="53" t="s">
        <v>71</v>
      </c>
      <c r="F14" s="63">
        <f>SUM(F10:F12)/F7</f>
        <v>6641.1738758367719</v>
      </c>
      <c r="H14" s="53" t="s">
        <v>71</v>
      </c>
      <c r="I14" s="63">
        <f>SUM(I10:I12)/I7</f>
        <v>8969.336417512206</v>
      </c>
      <c r="K14" s="53" t="s">
        <v>71</v>
      </c>
      <c r="L14" s="63">
        <f>SUM(L10:L12)/L7</f>
        <v>13800.684396183757</v>
      </c>
      <c r="N14" s="53" t="s">
        <v>71</v>
      </c>
      <c r="O14" s="63">
        <f>SUM(O10:O12)/O7</f>
        <v>22710.400234373024</v>
      </c>
    </row>
    <row r="15" spans="2:15" s="36" customFormat="1" x14ac:dyDescent="0.3">
      <c r="B15" s="45"/>
      <c r="C15" s="46"/>
      <c r="E15" s="45"/>
      <c r="F15" s="46"/>
      <c r="H15" s="45"/>
      <c r="I15" s="46"/>
      <c r="K15" s="45"/>
      <c r="L15" s="46"/>
      <c r="N15" s="45"/>
      <c r="O15" s="46"/>
    </row>
    <row r="16" spans="2:15" ht="15" thickBot="1" x14ac:dyDescent="0.35">
      <c r="B16" s="43"/>
      <c r="C16" s="44"/>
      <c r="E16" s="43"/>
      <c r="F16" s="44"/>
      <c r="H16" s="43"/>
      <c r="I16" s="44"/>
      <c r="K16" s="43"/>
      <c r="L16" s="44"/>
      <c r="N16" s="43"/>
      <c r="O16" s="44"/>
    </row>
    <row r="17" spans="2:15" ht="16.2" thickBot="1" x14ac:dyDescent="0.35">
      <c r="B17" s="235" t="s">
        <v>73</v>
      </c>
      <c r="C17" s="236"/>
      <c r="E17" s="235" t="s">
        <v>73</v>
      </c>
      <c r="F17" s="236"/>
      <c r="H17" s="235" t="s">
        <v>73</v>
      </c>
      <c r="I17" s="236"/>
      <c r="K17" s="235" t="s">
        <v>73</v>
      </c>
      <c r="L17" s="236"/>
      <c r="N17" s="235" t="s">
        <v>73</v>
      </c>
      <c r="O17" s="236"/>
    </row>
    <row r="18" spans="2:15" x14ac:dyDescent="0.3">
      <c r="B18" s="41" t="s">
        <v>66</v>
      </c>
      <c r="C18" s="51">
        <f>SUM(Calculations!R28:R38)</f>
        <v>7.6271710534050614</v>
      </c>
      <c r="E18" s="41" t="s">
        <v>66</v>
      </c>
      <c r="F18" s="51">
        <f>SUM(Calculations!R60:R70)</f>
        <v>7.6231411280410128</v>
      </c>
      <c r="H18" s="41" t="s">
        <v>66</v>
      </c>
      <c r="I18" s="51">
        <f>SUM(Calculations!R92:R102)</f>
        <v>7.6125361513230656</v>
      </c>
      <c r="K18" s="41" t="s">
        <v>66</v>
      </c>
      <c r="L18" s="51">
        <f>SUM(Calculations!R124:R134)</f>
        <v>7.59189278448775</v>
      </c>
      <c r="N18" s="41" t="s">
        <v>66</v>
      </c>
      <c r="O18" s="51">
        <f>SUM(Calculations!R156:R166)</f>
        <v>7.551280289628898</v>
      </c>
    </row>
    <row r="19" spans="2:15" x14ac:dyDescent="0.3">
      <c r="B19" s="42" t="s">
        <v>67</v>
      </c>
      <c r="C19" s="52">
        <f>Calculations!S28</f>
        <v>7.264857858993428E-3</v>
      </c>
      <c r="E19" s="42" t="s">
        <v>67</v>
      </c>
      <c r="F19" s="52">
        <f>Calculations!S60</f>
        <v>8.6912705269237018E-3</v>
      </c>
      <c r="H19" s="42" t="s">
        <v>67</v>
      </c>
      <c r="I19" s="52">
        <f>Calculations!S92</f>
        <v>1.1911615555327817E-2</v>
      </c>
      <c r="K19" s="42" t="s">
        <v>67</v>
      </c>
      <c r="L19" s="52">
        <f>Calculations!S124</f>
        <v>1.8197804516243657E-2</v>
      </c>
      <c r="N19" s="42" t="s">
        <v>67</v>
      </c>
      <c r="O19" s="52">
        <f>Calculations!S156</f>
        <v>3.0351211637964587E-2</v>
      </c>
    </row>
    <row r="20" spans="2:15" x14ac:dyDescent="0.3">
      <c r="B20" s="43"/>
      <c r="C20" s="44"/>
      <c r="E20" s="43"/>
      <c r="F20" s="44"/>
      <c r="H20" s="43"/>
      <c r="I20" s="44"/>
      <c r="K20" s="43"/>
      <c r="L20" s="44"/>
      <c r="N20" s="43"/>
      <c r="O20" s="44"/>
    </row>
    <row r="21" spans="2:15" x14ac:dyDescent="0.3">
      <c r="B21" s="42" t="s">
        <v>68</v>
      </c>
      <c r="C21" s="47">
        <f>sum_assured*C19</f>
        <v>36324.289294967137</v>
      </c>
      <c r="E21" s="42" t="s">
        <v>68</v>
      </c>
      <c r="F21" s="47">
        <f>sum_assured*F19</f>
        <v>43456.35263461851</v>
      </c>
      <c r="H21" s="42" t="s">
        <v>68</v>
      </c>
      <c r="I21" s="47">
        <f>sum_assured*I19</f>
        <v>59558.077776639082</v>
      </c>
      <c r="K21" s="42" t="s">
        <v>68</v>
      </c>
      <c r="L21" s="47">
        <f>sum_assured*L19</f>
        <v>90989.022581218291</v>
      </c>
      <c r="N21" s="42" t="s">
        <v>68</v>
      </c>
      <c r="O21" s="47">
        <f>sum_assured*O19</f>
        <v>151756.05818982294</v>
      </c>
    </row>
    <row r="22" spans="2:15" x14ac:dyDescent="0.3">
      <c r="B22" s="42" t="s">
        <v>69</v>
      </c>
      <c r="C22" s="47">
        <f>in_exp+re_exp*(C18-1)</f>
        <v>2331.3585526702532</v>
      </c>
      <c r="E22" s="42" t="s">
        <v>69</v>
      </c>
      <c r="F22" s="47">
        <f>in_exp+re_exp*(F18-1)</f>
        <v>2331.1570564020508</v>
      </c>
      <c r="H22" s="42" t="s">
        <v>69</v>
      </c>
      <c r="I22" s="47">
        <f>in_exp+re_exp*(I18-1)</f>
        <v>2330.6268075661533</v>
      </c>
      <c r="K22" s="42" t="s">
        <v>69</v>
      </c>
      <c r="L22" s="47">
        <f>in_exp+re_exp*(L18-1)</f>
        <v>2329.5946392243877</v>
      </c>
      <c r="N22" s="42" t="s">
        <v>69</v>
      </c>
      <c r="O22" s="47">
        <f>in_exp+re_exp*(O18-1)</f>
        <v>2327.5640144814447</v>
      </c>
    </row>
    <row r="23" spans="2:15" x14ac:dyDescent="0.3">
      <c r="B23" s="42" t="s">
        <v>70</v>
      </c>
      <c r="C23" s="47">
        <f>in_com+re_com*(C18-1)</f>
        <v>1765.0868421362024</v>
      </c>
      <c r="E23" s="42" t="s">
        <v>70</v>
      </c>
      <c r="F23" s="47">
        <f>in_com+re_com*(F18-1)</f>
        <v>1764.9256451216406</v>
      </c>
      <c r="H23" s="42" t="s">
        <v>70</v>
      </c>
      <c r="I23" s="47">
        <f>in_com+re_com*(I18-1)</f>
        <v>1764.5014460529226</v>
      </c>
      <c r="K23" s="42" t="s">
        <v>70</v>
      </c>
      <c r="L23" s="47">
        <f>in_com+re_com*(L18-1)</f>
        <v>1763.6757113795099</v>
      </c>
      <c r="N23" s="42" t="s">
        <v>70</v>
      </c>
      <c r="O23" s="47">
        <f>in_com+re_com*(O18-1)</f>
        <v>1762.0512115851559</v>
      </c>
    </row>
    <row r="24" spans="2:15" x14ac:dyDescent="0.3">
      <c r="B24" s="43"/>
      <c r="C24" s="48"/>
      <c r="E24" s="43"/>
      <c r="F24" s="48"/>
      <c r="H24" s="43"/>
      <c r="I24" s="48"/>
      <c r="K24" s="43"/>
      <c r="L24" s="48"/>
      <c r="N24" s="43"/>
      <c r="O24" s="48"/>
    </row>
    <row r="25" spans="2:15" s="54" customFormat="1" ht="15" thickBot="1" x14ac:dyDescent="0.35">
      <c r="B25" s="55" t="s">
        <v>71</v>
      </c>
      <c r="C25" s="64">
        <f>SUM(C21:C23)/C18</f>
        <v>5299.5710213852126</v>
      </c>
      <c r="E25" s="55" t="s">
        <v>71</v>
      </c>
      <c r="F25" s="64">
        <f>SUM(F21:F23)/F18</f>
        <v>6237.9056792251968</v>
      </c>
      <c r="H25" s="55" t="s">
        <v>71</v>
      </c>
      <c r="I25" s="64">
        <f>SUM(I21:I23)/I18</f>
        <v>8361.6293919596246</v>
      </c>
      <c r="K25" s="55" t="s">
        <v>71</v>
      </c>
      <c r="L25" s="64">
        <f>SUM(L21:L23)/L18</f>
        <v>12524.18805572446</v>
      </c>
      <c r="N25" s="55" t="s">
        <v>71</v>
      </c>
      <c r="O25" s="64">
        <f>SUM(O21:O23)/O18</f>
        <v>20638.31131125295</v>
      </c>
    </row>
  </sheetData>
  <mergeCells count="15">
    <mergeCell ref="B6:C6"/>
    <mergeCell ref="E6:F6"/>
    <mergeCell ref="H6:I6"/>
    <mergeCell ref="K6:L6"/>
    <mergeCell ref="N6:O6"/>
    <mergeCell ref="B2:C3"/>
    <mergeCell ref="E2:F3"/>
    <mergeCell ref="H2:I3"/>
    <mergeCell ref="K2:L3"/>
    <mergeCell ref="N2:O3"/>
    <mergeCell ref="B17:C17"/>
    <mergeCell ref="E17:F17"/>
    <mergeCell ref="H17:I17"/>
    <mergeCell ref="K17:L17"/>
    <mergeCell ref="N17:O1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29"/>
  <sheetViews>
    <sheetView showGridLines="0" topLeftCell="B1" workbookViewId="0">
      <selection activeCell="L15" sqref="L15"/>
    </sheetView>
  </sheetViews>
  <sheetFormatPr defaultRowHeight="14.4" x14ac:dyDescent="0.3"/>
  <cols>
    <col min="3" max="3" width="11.44140625" bestFit="1" customWidth="1"/>
    <col min="4" max="5" width="12.5546875" bestFit="1" customWidth="1"/>
    <col min="6" max="6" width="10.109375" bestFit="1" customWidth="1"/>
    <col min="7" max="7" width="9.21875" bestFit="1" customWidth="1"/>
    <col min="8" max="8" width="9.6640625" bestFit="1" customWidth="1"/>
    <col min="9" max="9" width="10.77734375" bestFit="1" customWidth="1"/>
    <col min="10" max="10" width="14.88671875" bestFit="1" customWidth="1"/>
  </cols>
  <sheetData>
    <row r="1" spans="2:20" ht="15" thickBot="1" x14ac:dyDescent="0.35"/>
    <row r="2" spans="2:20" ht="15" thickBot="1" x14ac:dyDescent="0.35">
      <c r="C2" s="250" t="s">
        <v>44</v>
      </c>
      <c r="D2" s="251"/>
      <c r="E2" s="251"/>
      <c r="F2" s="251"/>
      <c r="G2" s="251"/>
      <c r="H2" s="251"/>
      <c r="I2" s="251"/>
      <c r="J2" s="251"/>
      <c r="K2" s="252"/>
      <c r="M2" s="241"/>
      <c r="N2" s="242"/>
      <c r="O2" s="242"/>
      <c r="P2" s="242"/>
      <c r="Q2" s="242"/>
      <c r="R2" s="242"/>
      <c r="S2" s="242"/>
      <c r="T2" s="243"/>
    </row>
    <row r="3" spans="2:20" ht="15" thickBot="1" x14ac:dyDescent="0.35">
      <c r="C3" s="56" t="s">
        <v>74</v>
      </c>
      <c r="D3" s="57" t="s">
        <v>1</v>
      </c>
      <c r="E3" s="58" t="s">
        <v>2</v>
      </c>
      <c r="F3" s="75" t="s">
        <v>83</v>
      </c>
      <c r="G3" s="58" t="s">
        <v>75</v>
      </c>
      <c r="H3" s="75" t="s">
        <v>81</v>
      </c>
      <c r="I3" s="75" t="s">
        <v>84</v>
      </c>
      <c r="J3" s="75" t="s">
        <v>82</v>
      </c>
      <c r="K3" s="81" t="s">
        <v>85</v>
      </c>
      <c r="M3" s="244"/>
      <c r="N3" s="245"/>
      <c r="O3" s="245"/>
      <c r="P3" s="245"/>
      <c r="Q3" s="245"/>
      <c r="R3" s="245"/>
      <c r="S3" s="245"/>
      <c r="T3" s="246"/>
    </row>
    <row r="4" spans="2:20" x14ac:dyDescent="0.3">
      <c r="C4" s="59" t="s">
        <v>76</v>
      </c>
      <c r="D4" s="70">
        <f>'Pricing Term Assurance'!C14</f>
        <v>5647.1582056716124</v>
      </c>
      <c r="E4" s="71">
        <f>'Pricing Term Assurance'!C25</f>
        <v>5299.5710213852126</v>
      </c>
      <c r="F4" s="61">
        <f>E4-D4</f>
        <v>-347.58718428639986</v>
      </c>
      <c r="G4" s="77">
        <f>((D4-E4)/D4)</f>
        <v>6.1550813989469516E-2</v>
      </c>
      <c r="H4" s="214">
        <f>(sum_assured*(a_asure_12-a_asure_06))/a_ann_06</f>
        <v>-346.17380949119638</v>
      </c>
      <c r="I4" s="208">
        <f>((re_exp+re_com)*(a_ann_12-a_ann_06))/a_ann_06</f>
        <v>2.4417314025676512E-2</v>
      </c>
      <c r="J4" s="211">
        <f>SUM('Pricing Term Assurance'!C10:C12)*(1/a_ann_12 - 1/a_ann_06)</f>
        <v>-1.5316781754837134</v>
      </c>
      <c r="K4" s="80">
        <f>F4-H4-I4-J4</f>
        <v>9.3886066254555978E-2</v>
      </c>
      <c r="M4" s="244"/>
      <c r="N4" s="245"/>
      <c r="O4" s="245"/>
      <c r="P4" s="245"/>
      <c r="Q4" s="245"/>
      <c r="R4" s="245"/>
      <c r="S4" s="245"/>
      <c r="T4" s="246"/>
    </row>
    <row r="5" spans="2:20" x14ac:dyDescent="0.3">
      <c r="C5" s="60" t="s">
        <v>77</v>
      </c>
      <c r="D5" s="72">
        <f>'Pricing Term Assurance'!F14</f>
        <v>6641.1738758367719</v>
      </c>
      <c r="E5" s="73">
        <f>'Pricing Term Assurance'!F25</f>
        <v>6237.9056792251968</v>
      </c>
      <c r="F5" s="62">
        <f>E5-D5</f>
        <v>-403.26819661157515</v>
      </c>
      <c r="G5" s="76">
        <f>((D5-E5)/D5)</f>
        <v>6.072242711169256E-2</v>
      </c>
      <c r="H5" s="215">
        <f>(sum_assured*(b_asure_12-b_asure_06))/b_ann_06</f>
        <v>-401.32415330055494</v>
      </c>
      <c r="I5" s="209">
        <f>((re_exp+re_com)*(b_ann_12-b_ann_06))/b_ann_06</f>
        <v>2.8459105770473839E-2</v>
      </c>
      <c r="J5" s="212">
        <f>SUM('Pricing Term Assurance'!F10:F12)*(1/b_ann_12 - 1/b_ann_06)</f>
        <v>-2.0993569327945236</v>
      </c>
      <c r="K5" s="79">
        <f>F5-H5-I5-J5</f>
        <v>0.12685451600384035</v>
      </c>
      <c r="M5" s="244"/>
      <c r="N5" s="245"/>
      <c r="O5" s="245"/>
      <c r="P5" s="245"/>
      <c r="Q5" s="245"/>
      <c r="R5" s="245"/>
      <c r="S5" s="245"/>
      <c r="T5" s="246"/>
    </row>
    <row r="6" spans="2:20" x14ac:dyDescent="0.3">
      <c r="C6" s="60" t="s">
        <v>78</v>
      </c>
      <c r="D6" s="72">
        <f>'Pricing Term Assurance'!I14</f>
        <v>8969.336417512206</v>
      </c>
      <c r="E6" s="73">
        <f>'Pricing Term Assurance'!I25</f>
        <v>8361.6293919596246</v>
      </c>
      <c r="F6" s="62">
        <f>E6-D6</f>
        <v>-607.7070255525814</v>
      </c>
      <c r="G6" s="76">
        <f>((D6-E6)/D6)</f>
        <v>6.7753844572722474E-2</v>
      </c>
      <c r="H6" s="215">
        <f>(sum_assured*(c_asure_12-c_asure_06))/c_ann_06</f>
        <v>-604.41457637328961</v>
      </c>
      <c r="I6" s="209">
        <f>((re_exp+re_com)*(c_ann_12-c_ann_06))/c_ann_06</f>
        <v>3.5823706804864422E-2</v>
      </c>
      <c r="J6" s="212">
        <f>SUM('Pricing Term Assurance'!I10:I12)*(1/c_ann_12 - 1/c_ann_06)</f>
        <v>-3.5687448043076246</v>
      </c>
      <c r="K6" s="79">
        <f>F6-H6-I6-J6</f>
        <v>0.2404719182109667</v>
      </c>
      <c r="M6" s="244"/>
      <c r="N6" s="245"/>
      <c r="O6" s="245"/>
      <c r="P6" s="245"/>
      <c r="Q6" s="245"/>
      <c r="R6" s="245"/>
      <c r="S6" s="245"/>
      <c r="T6" s="246"/>
    </row>
    <row r="7" spans="2:20" x14ac:dyDescent="0.3">
      <c r="C7" s="60" t="s">
        <v>79</v>
      </c>
      <c r="D7" s="72">
        <f>'Pricing Term Assurance'!L14</f>
        <v>13800.684396183757</v>
      </c>
      <c r="E7" s="73">
        <f>'Pricing Term Assurance'!L25</f>
        <v>12524.18805572446</v>
      </c>
      <c r="F7" s="62">
        <f>E7-D7</f>
        <v>-1276.4963404592963</v>
      </c>
      <c r="G7" s="76">
        <f>((D7-E7)/D7)</f>
        <v>9.2495147618351467E-2</v>
      </c>
      <c r="H7" s="215">
        <f>(sum_assured*(d_asure_12-d_asure_06))/d_ann_06</f>
        <v>-1266.4925832534529</v>
      </c>
      <c r="I7" s="209">
        <f>((re_exp+re_com)*(d_ann_12-d_ann_06))/d_ann_06</f>
        <v>7.2408278247932806E-2</v>
      </c>
      <c r="J7" s="212">
        <f>SUM('Pricing Term Assurance'!L10:L12)*(1/d_ann_12 - 1/d_ann_06)</f>
        <v>-11.094227576150912</v>
      </c>
      <c r="K7" s="79">
        <f>F7-H7-I7-J7</f>
        <v>1.0180620920595942</v>
      </c>
      <c r="M7" s="244"/>
      <c r="N7" s="245"/>
      <c r="O7" s="245"/>
      <c r="P7" s="245"/>
      <c r="Q7" s="245"/>
      <c r="R7" s="245"/>
      <c r="S7" s="245"/>
      <c r="T7" s="246"/>
    </row>
    <row r="8" spans="2:20" ht="15" thickBot="1" x14ac:dyDescent="0.35">
      <c r="C8" s="82" t="s">
        <v>80</v>
      </c>
      <c r="D8" s="83">
        <f>'Pricing Term Assurance'!O14</f>
        <v>22710.400234373024</v>
      </c>
      <c r="E8" s="84">
        <f>'Pricing Term Assurance'!O25</f>
        <v>20638.31131125295</v>
      </c>
      <c r="F8" s="85">
        <f>E8-D8</f>
        <v>-2072.0889231200745</v>
      </c>
      <c r="G8" s="86">
        <f>((D8-E8)/D8)</f>
        <v>9.1239647991050887E-2</v>
      </c>
      <c r="H8" s="216">
        <f>(sum_assured*(e_asure_12-e_asure_06))/e_ann_06</f>
        <v>-2039.258968734694</v>
      </c>
      <c r="I8" s="210">
        <f>((re_exp+re_com)*(e_ann_12-e_ann_06))/e_ann_06</f>
        <v>0.14379263823329994</v>
      </c>
      <c r="J8" s="213">
        <f>SUM('Pricing Term Assurance'!O10:O12)*(1/e_ann_12 - 1/e_ann_06)</f>
        <v>-36.226436335336459</v>
      </c>
      <c r="K8" s="87">
        <f>F8-H8-I8-J8</f>
        <v>3.2526893117226976</v>
      </c>
      <c r="M8" s="244"/>
      <c r="N8" s="245"/>
      <c r="O8" s="245"/>
      <c r="P8" s="245"/>
      <c r="Q8" s="245"/>
      <c r="R8" s="245"/>
      <c r="S8" s="245"/>
      <c r="T8" s="246"/>
    </row>
    <row r="9" spans="2:20" ht="15" thickBot="1" x14ac:dyDescent="0.35">
      <c r="C9" s="56" t="s">
        <v>86</v>
      </c>
      <c r="D9" s="88"/>
      <c r="E9" s="89"/>
      <c r="F9" s="90">
        <f>ABS(SUM(F4:F8))/ABS(SUM(F4:F8))</f>
        <v>1</v>
      </c>
      <c r="G9" s="89"/>
      <c r="H9" s="91">
        <f>ABS(SUM(H4:H8))/ABS(SUM($F$4:$F$8))</f>
        <v>0.98948756607068078</v>
      </c>
      <c r="I9" s="91">
        <f>SUM(I4:I8)/ABS(SUM($F$4:$F$8))</f>
        <v>6.47740552146963E-5</v>
      </c>
      <c r="J9" s="91">
        <f>ABS(SUM(J4:J8))/ABS(SUM($F$4:$F$8))</f>
        <v>1.1582480016762806E-2</v>
      </c>
      <c r="K9" s="92">
        <f>ABS(SUM(K4:K8))/ABS(SUM($F$4:$F$8))</f>
        <v>1.0052720322287171E-3</v>
      </c>
      <c r="M9" s="244"/>
      <c r="N9" s="245"/>
      <c r="O9" s="245"/>
      <c r="P9" s="245"/>
      <c r="Q9" s="245"/>
      <c r="R9" s="245"/>
      <c r="S9" s="245"/>
      <c r="T9" s="246"/>
    </row>
    <row r="10" spans="2:20" x14ac:dyDescent="0.3">
      <c r="B10" s="74"/>
      <c r="C10" s="74"/>
      <c r="D10" s="74"/>
      <c r="E10" s="74"/>
      <c r="F10" s="74"/>
      <c r="G10" s="74"/>
      <c r="H10" s="74"/>
      <c r="M10" s="244"/>
      <c r="N10" s="245"/>
      <c r="O10" s="245"/>
      <c r="P10" s="245"/>
      <c r="Q10" s="245"/>
      <c r="R10" s="245"/>
      <c r="S10" s="245"/>
      <c r="T10" s="246"/>
    </row>
    <row r="11" spans="2:20" ht="15" thickBot="1" x14ac:dyDescent="0.35">
      <c r="B11" s="74"/>
      <c r="C11" s="74"/>
      <c r="D11" s="74"/>
      <c r="E11" s="74"/>
      <c r="F11" s="74"/>
      <c r="G11" s="74"/>
      <c r="H11" s="78"/>
      <c r="M11" s="244"/>
      <c r="N11" s="245"/>
      <c r="O11" s="245"/>
      <c r="P11" s="245"/>
      <c r="Q11" s="245"/>
      <c r="R11" s="245"/>
      <c r="S11" s="245"/>
      <c r="T11" s="246"/>
    </row>
    <row r="12" spans="2:20" x14ac:dyDescent="0.3">
      <c r="B12" s="74"/>
      <c r="C12" s="74"/>
      <c r="D12" s="241"/>
      <c r="E12" s="242"/>
      <c r="F12" s="242"/>
      <c r="G12" s="242"/>
      <c r="H12" s="242"/>
      <c r="I12" s="242"/>
      <c r="J12" s="243"/>
      <c r="M12" s="244"/>
      <c r="N12" s="245"/>
      <c r="O12" s="245"/>
      <c r="P12" s="245"/>
      <c r="Q12" s="245"/>
      <c r="R12" s="245"/>
      <c r="S12" s="245"/>
      <c r="T12" s="246"/>
    </row>
    <row r="13" spans="2:20" x14ac:dyDescent="0.3">
      <c r="B13" s="74"/>
      <c r="C13" s="74"/>
      <c r="D13" s="244"/>
      <c r="E13" s="245"/>
      <c r="F13" s="245"/>
      <c r="G13" s="245"/>
      <c r="H13" s="245"/>
      <c r="I13" s="245"/>
      <c r="J13" s="246"/>
      <c r="M13" s="244"/>
      <c r="N13" s="245"/>
      <c r="O13" s="245"/>
      <c r="P13" s="245"/>
      <c r="Q13" s="245"/>
      <c r="R13" s="245"/>
      <c r="S13" s="245"/>
      <c r="T13" s="246"/>
    </row>
    <row r="14" spans="2:20" x14ac:dyDescent="0.3">
      <c r="B14" s="74"/>
      <c r="C14" s="74"/>
      <c r="D14" s="244"/>
      <c r="E14" s="245"/>
      <c r="F14" s="245"/>
      <c r="G14" s="245"/>
      <c r="H14" s="245"/>
      <c r="I14" s="245"/>
      <c r="J14" s="246"/>
      <c r="M14" s="244"/>
      <c r="N14" s="245"/>
      <c r="O14" s="245"/>
      <c r="P14" s="245"/>
      <c r="Q14" s="245"/>
      <c r="R14" s="245"/>
      <c r="S14" s="245"/>
      <c r="T14" s="246"/>
    </row>
    <row r="15" spans="2:20" x14ac:dyDescent="0.3">
      <c r="B15" s="74"/>
      <c r="C15" s="74"/>
      <c r="D15" s="244"/>
      <c r="E15" s="245"/>
      <c r="F15" s="245"/>
      <c r="G15" s="245"/>
      <c r="H15" s="245"/>
      <c r="I15" s="245"/>
      <c r="J15" s="246"/>
      <c r="M15" s="244"/>
      <c r="N15" s="245"/>
      <c r="O15" s="245"/>
      <c r="P15" s="245"/>
      <c r="Q15" s="245"/>
      <c r="R15" s="245"/>
      <c r="S15" s="245"/>
      <c r="T15" s="246"/>
    </row>
    <row r="16" spans="2:20" x14ac:dyDescent="0.3">
      <c r="B16" s="74"/>
      <c r="C16" s="74"/>
      <c r="D16" s="244"/>
      <c r="E16" s="245"/>
      <c r="F16" s="245"/>
      <c r="G16" s="245"/>
      <c r="H16" s="245"/>
      <c r="I16" s="245"/>
      <c r="J16" s="246"/>
      <c r="M16" s="244"/>
      <c r="N16" s="245"/>
      <c r="O16" s="245"/>
      <c r="P16" s="245"/>
      <c r="Q16" s="245"/>
      <c r="R16" s="245"/>
      <c r="S16" s="245"/>
      <c r="T16" s="246"/>
    </row>
    <row r="17" spans="2:20" x14ac:dyDescent="0.3">
      <c r="B17" s="74"/>
      <c r="C17" s="74"/>
      <c r="D17" s="244"/>
      <c r="E17" s="245"/>
      <c r="F17" s="245"/>
      <c r="G17" s="245"/>
      <c r="H17" s="245"/>
      <c r="I17" s="245"/>
      <c r="J17" s="246"/>
      <c r="M17" s="244"/>
      <c r="N17" s="245"/>
      <c r="O17" s="245"/>
      <c r="P17" s="245"/>
      <c r="Q17" s="245"/>
      <c r="R17" s="245"/>
      <c r="S17" s="245"/>
      <c r="T17" s="246"/>
    </row>
    <row r="18" spans="2:20" ht="15" thickBot="1" x14ac:dyDescent="0.35">
      <c r="B18" s="74"/>
      <c r="C18" s="74"/>
      <c r="D18" s="244"/>
      <c r="E18" s="245"/>
      <c r="F18" s="245"/>
      <c r="G18" s="245"/>
      <c r="H18" s="245"/>
      <c r="I18" s="245"/>
      <c r="J18" s="246"/>
      <c r="M18" s="247"/>
      <c r="N18" s="248"/>
      <c r="O18" s="248"/>
      <c r="P18" s="248"/>
      <c r="Q18" s="248"/>
      <c r="R18" s="248"/>
      <c r="S18" s="248"/>
      <c r="T18" s="249"/>
    </row>
    <row r="19" spans="2:20" x14ac:dyDescent="0.3">
      <c r="B19" s="74"/>
      <c r="C19" s="74"/>
      <c r="D19" s="244"/>
      <c r="E19" s="245"/>
      <c r="F19" s="245"/>
      <c r="G19" s="245"/>
      <c r="H19" s="245"/>
      <c r="I19" s="245"/>
      <c r="J19" s="246"/>
    </row>
    <row r="20" spans="2:20" x14ac:dyDescent="0.3">
      <c r="B20" s="74"/>
      <c r="C20" s="74"/>
      <c r="D20" s="244"/>
      <c r="E20" s="245"/>
      <c r="F20" s="245"/>
      <c r="G20" s="245"/>
      <c r="H20" s="245"/>
      <c r="I20" s="245"/>
      <c r="J20" s="246"/>
    </row>
    <row r="21" spans="2:20" ht="15" thickBot="1" x14ac:dyDescent="0.35">
      <c r="B21" s="74"/>
      <c r="C21" s="74"/>
      <c r="D21" s="244"/>
      <c r="E21" s="245"/>
      <c r="F21" s="245"/>
      <c r="G21" s="245"/>
      <c r="H21" s="245"/>
      <c r="I21" s="245"/>
      <c r="J21" s="246"/>
      <c r="L21" s="31"/>
      <c r="M21" s="31"/>
      <c r="N21" s="31"/>
      <c r="O21" s="31"/>
      <c r="P21" s="31"/>
      <c r="Q21" s="31"/>
      <c r="R21" s="31"/>
      <c r="S21" s="31"/>
    </row>
    <row r="22" spans="2:20" ht="15" thickTop="1" x14ac:dyDescent="0.3">
      <c r="B22" s="74"/>
      <c r="C22" s="74"/>
      <c r="D22" s="244"/>
      <c r="E22" s="245"/>
      <c r="F22" s="245"/>
      <c r="G22" s="245"/>
      <c r="H22" s="245"/>
      <c r="I22" s="245"/>
      <c r="J22" s="246"/>
      <c r="L22" s="253" t="s">
        <v>103</v>
      </c>
      <c r="M22" s="254"/>
      <c r="N22" s="254"/>
      <c r="O22" s="254"/>
      <c r="P22" s="254"/>
      <c r="Q22" s="254"/>
      <c r="R22" s="254"/>
      <c r="S22" s="254"/>
    </row>
    <row r="23" spans="2:20" x14ac:dyDescent="0.3">
      <c r="B23" s="74"/>
      <c r="C23" s="74"/>
      <c r="D23" s="244"/>
      <c r="E23" s="245"/>
      <c r="F23" s="245"/>
      <c r="G23" s="245"/>
      <c r="H23" s="245"/>
      <c r="I23" s="245"/>
      <c r="J23" s="246"/>
      <c r="L23" s="254"/>
      <c r="M23" s="254"/>
      <c r="N23" s="254"/>
      <c r="O23" s="254"/>
      <c r="P23" s="254"/>
      <c r="Q23" s="254"/>
      <c r="R23" s="254"/>
      <c r="S23" s="254"/>
    </row>
    <row r="24" spans="2:20" x14ac:dyDescent="0.3">
      <c r="B24" s="74"/>
      <c r="C24" s="74"/>
      <c r="D24" s="244"/>
      <c r="E24" s="245"/>
      <c r="F24" s="245"/>
      <c r="G24" s="245"/>
      <c r="H24" s="245"/>
      <c r="I24" s="245"/>
      <c r="J24" s="246"/>
      <c r="L24" s="254"/>
      <c r="M24" s="254"/>
      <c r="N24" s="254"/>
      <c r="O24" s="254"/>
      <c r="P24" s="254"/>
      <c r="Q24" s="254"/>
      <c r="R24" s="254"/>
      <c r="S24" s="254"/>
    </row>
    <row r="25" spans="2:20" x14ac:dyDescent="0.3">
      <c r="B25" s="74"/>
      <c r="C25" s="74"/>
      <c r="D25" s="244"/>
      <c r="E25" s="245"/>
      <c r="F25" s="245"/>
      <c r="G25" s="245"/>
      <c r="H25" s="245"/>
      <c r="I25" s="245"/>
      <c r="J25" s="246"/>
      <c r="L25" s="254"/>
      <c r="M25" s="254"/>
      <c r="N25" s="254"/>
      <c r="O25" s="254"/>
      <c r="P25" s="254"/>
      <c r="Q25" s="254"/>
      <c r="R25" s="254"/>
      <c r="S25" s="254"/>
    </row>
    <row r="26" spans="2:20" x14ac:dyDescent="0.3">
      <c r="D26" s="244"/>
      <c r="E26" s="245"/>
      <c r="F26" s="245"/>
      <c r="G26" s="245"/>
      <c r="H26" s="245"/>
      <c r="I26" s="245"/>
      <c r="J26" s="246"/>
      <c r="L26" s="254"/>
      <c r="M26" s="254"/>
      <c r="N26" s="254"/>
      <c r="O26" s="254"/>
      <c r="P26" s="254"/>
      <c r="Q26" s="254"/>
      <c r="R26" s="254"/>
      <c r="S26" s="254"/>
    </row>
    <row r="27" spans="2:20" ht="15" thickBot="1" x14ac:dyDescent="0.35">
      <c r="D27" s="247"/>
      <c r="E27" s="248"/>
      <c r="F27" s="248"/>
      <c r="G27" s="248"/>
      <c r="H27" s="248"/>
      <c r="I27" s="248"/>
      <c r="J27" s="249"/>
      <c r="L27" s="254"/>
      <c r="M27" s="254"/>
      <c r="N27" s="254"/>
      <c r="O27" s="254"/>
      <c r="P27" s="254"/>
      <c r="Q27" s="254"/>
      <c r="R27" s="254"/>
      <c r="S27" s="254"/>
    </row>
    <row r="28" spans="2:20" ht="15" thickBot="1" x14ac:dyDescent="0.35">
      <c r="L28" s="255"/>
      <c r="M28" s="255"/>
      <c r="N28" s="255"/>
      <c r="O28" s="255"/>
      <c r="P28" s="255"/>
      <c r="Q28" s="255"/>
      <c r="R28" s="255"/>
      <c r="S28" s="255"/>
    </row>
    <row r="29" spans="2:20" ht="15" thickTop="1" x14ac:dyDescent="0.3"/>
  </sheetData>
  <mergeCells count="4">
    <mergeCell ref="M2:T18"/>
    <mergeCell ref="D12:J27"/>
    <mergeCell ref="C2:K2"/>
    <mergeCell ref="L22:S28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F31"/>
  <sheetViews>
    <sheetView showGridLines="0" zoomScale="80" zoomScaleNormal="80" workbookViewId="0">
      <selection activeCell="AB27" sqref="AB27"/>
    </sheetView>
  </sheetViews>
  <sheetFormatPr defaultRowHeight="14.4" x14ac:dyDescent="0.3"/>
  <cols>
    <col min="2" max="2" width="15.33203125" bestFit="1" customWidth="1"/>
    <col min="3" max="3" width="10.44140625" bestFit="1" customWidth="1"/>
    <col min="4" max="4" width="12.44140625" bestFit="1" customWidth="1"/>
    <col min="7" max="7" width="18.77734375" bestFit="1" customWidth="1"/>
    <col min="8" max="8" width="11.88671875" bestFit="1" customWidth="1"/>
    <col min="9" max="10" width="8.88671875" customWidth="1"/>
    <col min="12" max="12" width="3.44140625" customWidth="1"/>
    <col min="14" max="14" width="16" bestFit="1" customWidth="1"/>
    <col min="15" max="15" width="16.33203125" bestFit="1" customWidth="1"/>
    <col min="17" max="17" width="19.5546875" bestFit="1" customWidth="1"/>
    <col min="20" max="20" width="11.5546875" bestFit="1" customWidth="1"/>
    <col min="21" max="21" width="16.88671875" bestFit="1" customWidth="1"/>
    <col min="22" max="22" width="15.33203125" bestFit="1" customWidth="1"/>
    <col min="23" max="23" width="17.33203125" bestFit="1" customWidth="1"/>
    <col min="27" max="27" width="9.6640625" bestFit="1" customWidth="1"/>
    <col min="28" max="28" width="16.21875" bestFit="1" customWidth="1"/>
    <col min="29" max="29" width="15.33203125" bestFit="1" customWidth="1"/>
    <col min="30" max="30" width="18.6640625" bestFit="1" customWidth="1"/>
  </cols>
  <sheetData>
    <row r="2" spans="2:32" ht="15" customHeight="1" thickBot="1" x14ac:dyDescent="0.35">
      <c r="B2" s="119" t="s">
        <v>100</v>
      </c>
      <c r="C2" s="108">
        <v>35</v>
      </c>
      <c r="D2" s="116" t="s">
        <v>88</v>
      </c>
      <c r="W2" s="222" t="s">
        <v>104</v>
      </c>
      <c r="X2" s="222"/>
      <c r="Y2" s="222"/>
      <c r="Z2" s="222"/>
      <c r="AA2" s="222"/>
      <c r="AB2" s="222"/>
      <c r="AC2" s="222"/>
      <c r="AD2" s="222"/>
      <c r="AE2" s="222"/>
      <c r="AF2" s="222"/>
    </row>
    <row r="3" spans="2:32" ht="15" thickBot="1" x14ac:dyDescent="0.35">
      <c r="B3" s="119" t="s">
        <v>101</v>
      </c>
      <c r="C3" s="108">
        <v>1</v>
      </c>
      <c r="D3" s="116" t="s">
        <v>88</v>
      </c>
      <c r="T3" s="155" t="s">
        <v>91</v>
      </c>
      <c r="U3" s="156">
        <f>C2</f>
        <v>35</v>
      </c>
      <c r="W3" s="223"/>
      <c r="X3" s="223"/>
      <c r="Y3" s="223"/>
      <c r="Z3" s="223"/>
      <c r="AA3" s="223"/>
      <c r="AB3" s="223"/>
      <c r="AC3" s="223"/>
      <c r="AD3" s="223"/>
      <c r="AE3" s="223"/>
      <c r="AF3" s="223"/>
    </row>
    <row r="4" spans="2:32" ht="15" thickBot="1" x14ac:dyDescent="0.35">
      <c r="B4" s="119" t="s">
        <v>102</v>
      </c>
      <c r="C4" s="117">
        <v>6.5000000000000002E-2</v>
      </c>
      <c r="D4" s="116" t="s">
        <v>88</v>
      </c>
      <c r="AA4" s="268"/>
      <c r="AB4" s="268"/>
      <c r="AC4" s="268"/>
      <c r="AD4" s="268"/>
    </row>
    <row r="5" spans="2:32" ht="15" thickBot="1" x14ac:dyDescent="0.35">
      <c r="B5" s="119" t="s">
        <v>61</v>
      </c>
      <c r="C5" s="118">
        <f>(1+C4)^-1</f>
        <v>0.93896713615023475</v>
      </c>
      <c r="D5" s="26"/>
      <c r="S5" s="272" t="s">
        <v>96</v>
      </c>
      <c r="T5" s="129" t="s">
        <v>87</v>
      </c>
      <c r="U5" s="130">
        <f>H28</f>
        <v>8361.6293919596246</v>
      </c>
      <c r="V5" s="131" t="s">
        <v>92</v>
      </c>
      <c r="W5" s="132" t="s">
        <v>93</v>
      </c>
      <c r="Z5" s="275" t="s">
        <v>97</v>
      </c>
      <c r="AA5" s="133" t="s">
        <v>95</v>
      </c>
      <c r="AB5" s="134">
        <f>H28</f>
        <v>8361.6293919596246</v>
      </c>
      <c r="AC5" s="135" t="s">
        <v>92</v>
      </c>
      <c r="AD5" s="136" t="s">
        <v>94</v>
      </c>
    </row>
    <row r="6" spans="2:32" ht="15" thickBot="1" x14ac:dyDescent="0.35">
      <c r="F6" s="31"/>
      <c r="G6" s="31"/>
      <c r="H6" s="31"/>
      <c r="I6" s="31"/>
      <c r="J6" s="31"/>
      <c r="K6" s="31"/>
      <c r="S6" s="273"/>
      <c r="T6" s="122">
        <v>0.75</v>
      </c>
      <c r="U6" s="109">
        <f t="dataTable" ref="U6:U14" dt2D="0" dtr="0" r1="C3" ca="1"/>
        <v>6406.4964378159639</v>
      </c>
      <c r="V6" s="123">
        <f t="shared" ref="V6:V14" si="0">U6-VLOOKUP($U$3,$B$9:$C$13,2,FALSE)</f>
        <v>-1955.1329541436608</v>
      </c>
      <c r="W6" s="124">
        <f t="shared" ref="W6:W14" si="1">(U6-VLOOKUP($U$3,$B$9:$C$13,2,FALSE))/VLOOKUP($U$3,$B$9:$C$13,2,FALSE)</f>
        <v>-0.23382200555595989</v>
      </c>
      <c r="Z6" s="276"/>
      <c r="AA6" s="137">
        <v>5.5E-2</v>
      </c>
      <c r="AB6" s="138">
        <f t="dataTable" ref="AB6:AB10" dt2D="0" dtr="0" r1="C4"/>
        <v>8427.416236343015</v>
      </c>
      <c r="AC6" s="139">
        <f>AB6-$H$28</f>
        <v>65.786844383390417</v>
      </c>
      <c r="AD6" s="140">
        <f>(AB6-$H$28)/$H$28</f>
        <v>7.8677063165045E-3</v>
      </c>
    </row>
    <row r="7" spans="2:32" ht="15.6" thickTop="1" thickBot="1" x14ac:dyDescent="0.35">
      <c r="B7" s="256" t="s">
        <v>99</v>
      </c>
      <c r="C7" s="257"/>
      <c r="F7" s="258" t="s">
        <v>50</v>
      </c>
      <c r="G7" s="258"/>
      <c r="H7" s="258"/>
      <c r="I7" s="258"/>
      <c r="J7" s="258"/>
      <c r="K7" s="258"/>
      <c r="L7" s="105"/>
      <c r="M7" s="107"/>
      <c r="N7" s="107"/>
      <c r="O7" s="107"/>
      <c r="P7" s="107"/>
      <c r="Q7" s="107"/>
      <c r="S7" s="273"/>
      <c r="T7" s="122">
        <v>0.8</v>
      </c>
      <c r="U7" s="109">
        <v>6797.5990232523727</v>
      </c>
      <c r="V7" s="123">
        <f t="shared" si="0"/>
        <v>-1564.0303687072519</v>
      </c>
      <c r="W7" s="124">
        <f t="shared" si="1"/>
        <v>-0.18704851595206937</v>
      </c>
      <c r="Z7" s="276"/>
      <c r="AA7" s="141">
        <v>0.06</v>
      </c>
      <c r="AB7" s="109">
        <v>8394.2777401468611</v>
      </c>
      <c r="AC7" s="142">
        <f t="shared" ref="AC7:AC10" si="2">AB7-$H$28</f>
        <v>32.648348187236479</v>
      </c>
      <c r="AD7" s="143">
        <f t="shared" ref="AD7:AD10" si="3">(AB7-$H$28)/$H$28</f>
        <v>3.9045437984408251E-3</v>
      </c>
    </row>
    <row r="8" spans="2:32" ht="15" thickTop="1" x14ac:dyDescent="0.3">
      <c r="B8" s="110" t="s">
        <v>0</v>
      </c>
      <c r="C8" s="111" t="s">
        <v>44</v>
      </c>
      <c r="F8" s="158" t="s">
        <v>40</v>
      </c>
      <c r="G8" s="158" t="s">
        <v>41</v>
      </c>
      <c r="H8" s="158"/>
      <c r="I8" s="158"/>
      <c r="J8" s="158"/>
      <c r="K8" s="158"/>
      <c r="L8" s="105"/>
      <c r="M8" s="168" t="s">
        <v>40</v>
      </c>
      <c r="N8" s="168" t="s">
        <v>46</v>
      </c>
      <c r="O8" s="168" t="s">
        <v>48</v>
      </c>
      <c r="P8" s="168" t="s">
        <v>47</v>
      </c>
      <c r="Q8" s="168" t="s">
        <v>49</v>
      </c>
      <c r="S8" s="273"/>
      <c r="T8" s="122">
        <v>0.85</v>
      </c>
      <c r="U8" s="109">
        <v>7188.663609186232</v>
      </c>
      <c r="V8" s="123">
        <f t="shared" si="0"/>
        <v>-1172.9657827733927</v>
      </c>
      <c r="W8" s="124">
        <f t="shared" si="1"/>
        <v>-0.14027957085748061</v>
      </c>
      <c r="Z8" s="276"/>
      <c r="AA8" s="205">
        <v>6.5000000000000002E-2</v>
      </c>
      <c r="AB8" s="202">
        <v>8361.6293919596246</v>
      </c>
      <c r="AC8" s="206">
        <f t="shared" si="2"/>
        <v>0</v>
      </c>
      <c r="AD8" s="207">
        <f t="shared" si="3"/>
        <v>0</v>
      </c>
    </row>
    <row r="9" spans="2:32" x14ac:dyDescent="0.3">
      <c r="B9" s="112">
        <f>Calculations!F3</f>
        <v>25</v>
      </c>
      <c r="C9" s="113">
        <f>'Pricing Term Assurance'!C25</f>
        <v>5299.5710213852126</v>
      </c>
      <c r="F9" s="157">
        <v>0</v>
      </c>
      <c r="G9" s="157">
        <f>C2</f>
        <v>35</v>
      </c>
      <c r="H9" s="159">
        <f>VLOOKUP($G9,'IALM Comparison'!$AL$4:$AQ$118,2,FALSE)*$C$3</f>
        <v>1.2019999999999999E-3</v>
      </c>
      <c r="I9" s="160">
        <v>10000</v>
      </c>
      <c r="J9" s="161">
        <f>I9*H9</f>
        <v>12.02</v>
      </c>
      <c r="K9" s="162">
        <f>1-H9</f>
        <v>0.99879799999999996</v>
      </c>
      <c r="L9" s="105"/>
      <c r="M9" s="157">
        <v>0</v>
      </c>
      <c r="N9" s="162">
        <f>$C$5^M9</f>
        <v>1</v>
      </c>
      <c r="O9" s="162">
        <v>1</v>
      </c>
      <c r="P9" s="162">
        <f>O9*N9</f>
        <v>1</v>
      </c>
      <c r="Q9" s="162">
        <f t="shared" ref="Q9:Q16" si="4">(Q10*$C$5)*(K9)+($C$5^0.5)*(J9/I9)</f>
        <v>1.1911615555327817E-2</v>
      </c>
      <c r="S9" s="273"/>
      <c r="T9" s="122">
        <v>0.9</v>
      </c>
      <c r="U9" s="109">
        <v>7579.6901978137876</v>
      </c>
      <c r="V9" s="123">
        <f t="shared" si="0"/>
        <v>-781.93919414583706</v>
      </c>
      <c r="W9" s="124">
        <f t="shared" si="1"/>
        <v>-9.351517000953595E-2</v>
      </c>
      <c r="Z9" s="276"/>
      <c r="AA9" s="141">
        <v>7.0000000000000007E-2</v>
      </c>
      <c r="AB9" s="109">
        <v>8329.4668730982266</v>
      </c>
      <c r="AC9" s="142">
        <f t="shared" si="2"/>
        <v>-32.162518861397984</v>
      </c>
      <c r="AD9" s="143">
        <f t="shared" si="3"/>
        <v>-3.8464415670377379E-3</v>
      </c>
    </row>
    <row r="10" spans="2:32" ht="15" thickBot="1" x14ac:dyDescent="0.35">
      <c r="B10" s="112">
        <f>Calculations!F4</f>
        <v>30</v>
      </c>
      <c r="C10" s="113">
        <f>'Pricing Term Assurance'!F25</f>
        <v>6237.9056792251968</v>
      </c>
      <c r="F10" s="157">
        <v>1</v>
      </c>
      <c r="G10" s="157">
        <f>G9+1</f>
        <v>36</v>
      </c>
      <c r="H10" s="159">
        <f>VLOOKUP($G10,'IALM Comparison'!$AL$4:$AQ$118,2,FALSE)*$C$3</f>
        <v>1.2750000000000001E-3</v>
      </c>
      <c r="I10" s="160">
        <f>I9-J9</f>
        <v>9987.98</v>
      </c>
      <c r="J10" s="161">
        <f>I10*H10</f>
        <v>12.734674500000001</v>
      </c>
      <c r="K10" s="162">
        <f t="shared" ref="K10:K19" si="5">1-H10</f>
        <v>0.99872499999999997</v>
      </c>
      <c r="L10" s="105"/>
      <c r="M10" s="157">
        <v>1</v>
      </c>
      <c r="N10" s="162">
        <f>$C$5^M10</f>
        <v>0.93896713615023475</v>
      </c>
      <c r="O10" s="162">
        <f>O9*K9</f>
        <v>0.99879799999999996</v>
      </c>
      <c r="P10" s="162">
        <f t="shared" ref="P10:P17" si="6">O10*N10</f>
        <v>0.93783849765258209</v>
      </c>
      <c r="Q10" s="162">
        <f>(Q11*$C$5)*(K10)+($C$5^0.5)*(J10/I10)</f>
        <v>1.145919449503008E-2</v>
      </c>
      <c r="S10" s="273"/>
      <c r="T10" s="201">
        <v>1</v>
      </c>
      <c r="U10" s="202">
        <v>8361.6293919596246</v>
      </c>
      <c r="V10" s="203">
        <f t="shared" si="0"/>
        <v>0</v>
      </c>
      <c r="W10" s="204">
        <f t="shared" si="1"/>
        <v>0</v>
      </c>
      <c r="Z10" s="277"/>
      <c r="AA10" s="144">
        <v>7.4999999999999997E-2</v>
      </c>
      <c r="AB10" s="126">
        <v>8297.7857532501093</v>
      </c>
      <c r="AC10" s="145">
        <f t="shared" si="2"/>
        <v>-63.84363870951529</v>
      </c>
      <c r="AD10" s="146">
        <f t="shared" si="3"/>
        <v>-7.6353107410986254E-3</v>
      </c>
    </row>
    <row r="11" spans="2:32" ht="15" thickBot="1" x14ac:dyDescent="0.35">
      <c r="B11" s="112">
        <f>Calculations!F5</f>
        <v>35</v>
      </c>
      <c r="C11" s="113">
        <f>'Pricing Term Assurance'!I25</f>
        <v>8361.6293919596246</v>
      </c>
      <c r="F11" s="157">
        <v>2</v>
      </c>
      <c r="G11" s="157">
        <f t="shared" ref="G11:G19" si="7">G10+1</f>
        <v>37</v>
      </c>
      <c r="H11" s="159">
        <f>VLOOKUP($G11,'IALM Comparison'!$AL$4:$AQ$118,2,FALSE)*$C$3</f>
        <v>1.358E-3</v>
      </c>
      <c r="I11" s="160">
        <f t="shared" ref="I11:I19" si="8">I10-J10</f>
        <v>9975.2453255</v>
      </c>
      <c r="J11" s="161">
        <f t="shared" ref="J11:J19" si="9">I11*H11</f>
        <v>13.546383152029</v>
      </c>
      <c r="K11" s="162">
        <f t="shared" si="5"/>
        <v>0.99864200000000003</v>
      </c>
      <c r="L11" s="105"/>
      <c r="M11" s="157">
        <v>2</v>
      </c>
      <c r="N11" s="162">
        <f t="shared" ref="N11:N18" si="10">$C$5^M11</f>
        <v>0.88165928277017347</v>
      </c>
      <c r="O11" s="162">
        <f t="shared" ref="O11:O19" si="11">O10*K10</f>
        <v>0.99752453254999995</v>
      </c>
      <c r="P11" s="162">
        <f t="shared" si="6"/>
        <v>0.87947676391368557</v>
      </c>
      <c r="Q11" s="162">
        <f t="shared" si="4"/>
        <v>1.0902157213318935E-2</v>
      </c>
      <c r="S11" s="273"/>
      <c r="T11" s="122">
        <v>1.1000000000000001</v>
      </c>
      <c r="U11" s="109">
        <v>9143.4166233586093</v>
      </c>
      <c r="V11" s="123">
        <f t="shared" si="0"/>
        <v>781.78723139898466</v>
      </c>
      <c r="W11" s="124">
        <f t="shared" si="1"/>
        <v>9.3496996189610562E-2</v>
      </c>
    </row>
    <row r="12" spans="2:32" x14ac:dyDescent="0.3">
      <c r="B12" s="112">
        <f>Calculations!F6</f>
        <v>40</v>
      </c>
      <c r="C12" s="113">
        <f>'Pricing Term Assurance'!L25</f>
        <v>12524.18805572446</v>
      </c>
      <c r="F12" s="157">
        <v>3</v>
      </c>
      <c r="G12" s="157">
        <f t="shared" si="7"/>
        <v>38</v>
      </c>
      <c r="H12" s="159">
        <f>VLOOKUP($G12,'IALM Comparison'!$AL$4:$AQ$118,2,FALSE)*$C$3</f>
        <v>1.4530000000000001E-3</v>
      </c>
      <c r="I12" s="160">
        <f t="shared" si="8"/>
        <v>9961.6989423479718</v>
      </c>
      <c r="J12" s="161">
        <f t="shared" si="9"/>
        <v>14.474348563231604</v>
      </c>
      <c r="K12" s="162">
        <f t="shared" si="5"/>
        <v>0.99854699999999996</v>
      </c>
      <c r="L12" s="105"/>
      <c r="M12" s="157">
        <v>3</v>
      </c>
      <c r="N12" s="162">
        <f t="shared" si="10"/>
        <v>0.82784909180297983</v>
      </c>
      <c r="O12" s="162">
        <f t="shared" si="11"/>
        <v>0.99616989423479707</v>
      </c>
      <c r="P12" s="162">
        <f t="shared" si="6"/>
        <v>0.82467834222374725</v>
      </c>
      <c r="Q12" s="162">
        <f t="shared" si="4"/>
        <v>1.0223240383411976E-2</v>
      </c>
      <c r="S12" s="273"/>
      <c r="T12" s="122">
        <v>1.1499999999999999</v>
      </c>
      <c r="U12" s="109">
        <v>9534.253258571116</v>
      </c>
      <c r="V12" s="123">
        <f t="shared" si="0"/>
        <v>1172.6238666114914</v>
      </c>
      <c r="W12" s="124">
        <f t="shared" si="1"/>
        <v>0.14023867976486293</v>
      </c>
      <c r="AA12" s="259"/>
      <c r="AB12" s="260"/>
      <c r="AC12" s="260"/>
      <c r="AD12" s="260"/>
      <c r="AE12" s="260"/>
      <c r="AF12" s="261"/>
    </row>
    <row r="13" spans="2:32" ht="15" thickBot="1" x14ac:dyDescent="0.35">
      <c r="B13" s="114">
        <f>Calculations!F7</f>
        <v>45</v>
      </c>
      <c r="C13" s="115">
        <f>'Pricing Term Assurance'!O25</f>
        <v>20638.31131125295</v>
      </c>
      <c r="F13" s="157">
        <v>4</v>
      </c>
      <c r="G13" s="157">
        <f t="shared" si="7"/>
        <v>39</v>
      </c>
      <c r="H13" s="159">
        <f>VLOOKUP($G13,'IALM Comparison'!$AL$4:$AQ$118,2,FALSE)*$C$3</f>
        <v>1.56E-3</v>
      </c>
      <c r="I13" s="160">
        <f t="shared" si="8"/>
        <v>9947.2245937847401</v>
      </c>
      <c r="J13" s="161">
        <f t="shared" si="9"/>
        <v>15.517670366304195</v>
      </c>
      <c r="K13" s="162">
        <f t="shared" si="5"/>
        <v>0.99843999999999999</v>
      </c>
      <c r="L13" s="105"/>
      <c r="M13" s="157">
        <v>4</v>
      </c>
      <c r="N13" s="162">
        <f t="shared" si="10"/>
        <v>0.77732309089481666</v>
      </c>
      <c r="O13" s="162">
        <f t="shared" si="11"/>
        <v>0.99472245937847392</v>
      </c>
      <c r="P13" s="162">
        <f t="shared" si="6"/>
        <v>0.7732207367065691</v>
      </c>
      <c r="Q13" s="162">
        <f t="shared" si="4"/>
        <v>9.4019329122993454E-3</v>
      </c>
      <c r="S13" s="273"/>
      <c r="T13" s="122">
        <v>1.2</v>
      </c>
      <c r="U13" s="109">
        <v>9925.051909758482</v>
      </c>
      <c r="V13" s="123">
        <f t="shared" si="0"/>
        <v>1563.4225177988574</v>
      </c>
      <c r="W13" s="124">
        <f t="shared" si="1"/>
        <v>0.18697582068181748</v>
      </c>
      <c r="AA13" s="262"/>
      <c r="AB13" s="263"/>
      <c r="AC13" s="263"/>
      <c r="AD13" s="263"/>
      <c r="AE13" s="263"/>
      <c r="AF13" s="264"/>
    </row>
    <row r="14" spans="2:32" ht="15" thickBot="1" x14ac:dyDescent="0.35">
      <c r="F14" s="157">
        <v>5</v>
      </c>
      <c r="G14" s="157">
        <f t="shared" si="7"/>
        <v>40</v>
      </c>
      <c r="H14" s="159">
        <f>VLOOKUP($G14,'IALM Comparison'!$AL$4:$AQ$118,2,FALSE)*$C$3</f>
        <v>1.6800000000000001E-3</v>
      </c>
      <c r="I14" s="160">
        <f t="shared" si="8"/>
        <v>9931.7069234184364</v>
      </c>
      <c r="J14" s="161">
        <f t="shared" si="9"/>
        <v>16.685267631342974</v>
      </c>
      <c r="K14" s="162">
        <f t="shared" si="5"/>
        <v>0.99831999999999999</v>
      </c>
      <c r="L14" s="105"/>
      <c r="M14" s="157">
        <v>5</v>
      </c>
      <c r="N14" s="162">
        <f t="shared" si="10"/>
        <v>0.72988083652095459</v>
      </c>
      <c r="O14" s="162">
        <f t="shared" si="11"/>
        <v>0.99317069234184352</v>
      </c>
      <c r="P14" s="162">
        <f t="shared" si="6"/>
        <v>0.7248962557345604</v>
      </c>
      <c r="Q14" s="162">
        <f t="shared" si="4"/>
        <v>8.416286097548055E-3</v>
      </c>
      <c r="S14" s="274"/>
      <c r="T14" s="125">
        <v>1.25</v>
      </c>
      <c r="U14" s="126">
        <v>10315.812579151539</v>
      </c>
      <c r="V14" s="127">
        <f t="shared" si="0"/>
        <v>1954.1831871919148</v>
      </c>
      <c r="W14" s="128">
        <f t="shared" si="1"/>
        <v>0.23370841920726818</v>
      </c>
      <c r="AA14" s="262"/>
      <c r="AB14" s="263"/>
      <c r="AC14" s="263"/>
      <c r="AD14" s="263"/>
      <c r="AE14" s="263"/>
      <c r="AF14" s="264"/>
    </row>
    <row r="15" spans="2:32" ht="15" thickBot="1" x14ac:dyDescent="0.35">
      <c r="F15" s="157">
        <v>6</v>
      </c>
      <c r="G15" s="157">
        <f t="shared" si="7"/>
        <v>41</v>
      </c>
      <c r="H15" s="159">
        <f>VLOOKUP($G15,'IALM Comparison'!$AL$4:$AQ$118,2,FALSE)*$C$3</f>
        <v>1.815E-3</v>
      </c>
      <c r="I15" s="160">
        <f t="shared" si="8"/>
        <v>9915.0216557870936</v>
      </c>
      <c r="J15" s="161">
        <f t="shared" si="9"/>
        <v>17.995764305253573</v>
      </c>
      <c r="K15" s="162">
        <f t="shared" si="5"/>
        <v>0.99818499999999999</v>
      </c>
      <c r="L15" s="105"/>
      <c r="M15" s="157">
        <v>6</v>
      </c>
      <c r="N15" s="162">
        <f t="shared" si="10"/>
        <v>0.6853341187990184</v>
      </c>
      <c r="O15" s="162">
        <f t="shared" si="11"/>
        <v>0.99150216557870918</v>
      </c>
      <c r="P15" s="162">
        <f t="shared" si="6"/>
        <v>0.67951026293420314</v>
      </c>
      <c r="Q15" s="162">
        <f t="shared" si="4"/>
        <v>7.2417704031597623E-3</v>
      </c>
      <c r="AA15" s="262"/>
      <c r="AB15" s="263"/>
      <c r="AC15" s="263"/>
      <c r="AD15" s="263"/>
      <c r="AE15" s="263"/>
      <c r="AF15" s="264"/>
    </row>
    <row r="16" spans="2:32" x14ac:dyDescent="0.3">
      <c r="B16" s="26"/>
      <c r="C16" s="26"/>
      <c r="D16" s="26"/>
      <c r="F16" s="157">
        <v>7</v>
      </c>
      <c r="G16" s="157">
        <f t="shared" si="7"/>
        <v>42</v>
      </c>
      <c r="H16" s="159">
        <f>VLOOKUP($G16,'IALM Comparison'!$AL$4:$AQ$118,2,FALSE)*$C$3</f>
        <v>1.9689999999999998E-3</v>
      </c>
      <c r="I16" s="160">
        <f t="shared" si="8"/>
        <v>9897.0258914818405</v>
      </c>
      <c r="J16" s="161">
        <f t="shared" si="9"/>
        <v>19.487243980327744</v>
      </c>
      <c r="K16" s="162">
        <f t="shared" si="5"/>
        <v>0.998031</v>
      </c>
      <c r="L16" s="105"/>
      <c r="M16" s="157">
        <v>7</v>
      </c>
      <c r="N16" s="162">
        <f t="shared" si="10"/>
        <v>0.64350621483475912</v>
      </c>
      <c r="O16" s="162">
        <f t="shared" si="11"/>
        <v>0.98970258914818376</v>
      </c>
      <c r="P16" s="162">
        <f t="shared" si="6"/>
        <v>0.63687976695490844</v>
      </c>
      <c r="Q16" s="162">
        <f t="shared" si="4"/>
        <v>5.8500444147479751E-3</v>
      </c>
      <c r="S16" s="259"/>
      <c r="T16" s="260"/>
      <c r="U16" s="260"/>
      <c r="V16" s="260"/>
      <c r="W16" s="260"/>
      <c r="X16" s="260"/>
      <c r="Y16" s="261"/>
      <c r="AA16" s="262"/>
      <c r="AB16" s="263"/>
      <c r="AC16" s="263"/>
      <c r="AD16" s="263"/>
      <c r="AE16" s="263"/>
      <c r="AF16" s="264"/>
    </row>
    <row r="17" spans="2:32" x14ac:dyDescent="0.3">
      <c r="B17" s="26"/>
      <c r="C17" s="106"/>
      <c r="D17" s="106"/>
      <c r="F17" s="157">
        <v>8</v>
      </c>
      <c r="G17" s="157">
        <f t="shared" si="7"/>
        <v>43</v>
      </c>
      <c r="H17" s="159">
        <f>VLOOKUP($G17,'IALM Comparison'!$AL$4:$AQ$118,2,FALSE)*$C$3</f>
        <v>2.1440000000000001E-3</v>
      </c>
      <c r="I17" s="160">
        <f t="shared" si="8"/>
        <v>9877.538647501513</v>
      </c>
      <c r="J17" s="161">
        <f t="shared" si="9"/>
        <v>21.177442860243243</v>
      </c>
      <c r="K17" s="162">
        <f t="shared" si="5"/>
        <v>0.99785599999999997</v>
      </c>
      <c r="L17" s="105"/>
      <c r="M17" s="157">
        <v>8</v>
      </c>
      <c r="N17" s="162">
        <f t="shared" si="10"/>
        <v>0.60423118763827144</v>
      </c>
      <c r="O17" s="162">
        <f t="shared" si="11"/>
        <v>0.98775386475015103</v>
      </c>
      <c r="P17" s="162">
        <f t="shared" si="6"/>
        <v>0.59683169079227627</v>
      </c>
      <c r="Q17" s="162">
        <f>(Q18*$C$5)*(K17)+($C$5^0.5)*(J17/I17)</f>
        <v>4.2065949827053643E-3</v>
      </c>
      <c r="S17" s="262"/>
      <c r="T17" s="263"/>
      <c r="U17" s="263"/>
      <c r="V17" s="263"/>
      <c r="W17" s="263"/>
      <c r="X17" s="263"/>
      <c r="Y17" s="264"/>
      <c r="AA17" s="262"/>
      <c r="AB17" s="263"/>
      <c r="AC17" s="263"/>
      <c r="AD17" s="263"/>
      <c r="AE17" s="263"/>
      <c r="AF17" s="264"/>
    </row>
    <row r="18" spans="2:32" x14ac:dyDescent="0.3">
      <c r="F18" s="157">
        <v>9</v>
      </c>
      <c r="G18" s="157">
        <f t="shared" si="7"/>
        <v>44</v>
      </c>
      <c r="H18" s="159">
        <f>VLOOKUP($G18,'IALM Comparison'!$AL$4:$AQ$118,2,FALSE)*$C$3</f>
        <v>2.3449999999999999E-3</v>
      </c>
      <c r="I18" s="160">
        <f t="shared" si="8"/>
        <v>9856.3612046412691</v>
      </c>
      <c r="J18" s="161">
        <f t="shared" si="9"/>
        <v>23.113167024883776</v>
      </c>
      <c r="K18" s="162">
        <f t="shared" si="5"/>
        <v>0.99765499999999996</v>
      </c>
      <c r="L18" s="105"/>
      <c r="M18" s="157">
        <v>9</v>
      </c>
      <c r="N18" s="162">
        <f t="shared" si="10"/>
        <v>0.56735322782936282</v>
      </c>
      <c r="O18" s="162">
        <f t="shared" si="11"/>
        <v>0.98563612046412663</v>
      </c>
      <c r="P18" s="162">
        <f>O18*N18</f>
        <v>0.5592038344105329</v>
      </c>
      <c r="Q18" s="162">
        <f>($C$5^0.5)*(J18/I18)</f>
        <v>2.272312424792978E-3</v>
      </c>
      <c r="S18" s="262"/>
      <c r="T18" s="263"/>
      <c r="U18" s="263"/>
      <c r="V18" s="263"/>
      <c r="W18" s="263"/>
      <c r="X18" s="263"/>
      <c r="Y18" s="264"/>
      <c r="AA18" s="262"/>
      <c r="AB18" s="263"/>
      <c r="AC18" s="263"/>
      <c r="AD18" s="263"/>
      <c r="AE18" s="263"/>
      <c r="AF18" s="264"/>
    </row>
    <row r="19" spans="2:32" ht="15" thickBot="1" x14ac:dyDescent="0.35">
      <c r="F19" s="163">
        <v>10</v>
      </c>
      <c r="G19" s="163">
        <f t="shared" si="7"/>
        <v>45</v>
      </c>
      <c r="H19" s="164">
        <f>VLOOKUP($G19,'IALM Comparison'!$AL$4:$AQ$118,2,FALSE)*$C$3</f>
        <v>2.5790000000000001E-3</v>
      </c>
      <c r="I19" s="165">
        <f t="shared" si="8"/>
        <v>9833.2480376163858</v>
      </c>
      <c r="J19" s="166">
        <f t="shared" si="9"/>
        <v>25.359946689012659</v>
      </c>
      <c r="K19" s="167">
        <f t="shared" si="5"/>
        <v>0.997421</v>
      </c>
      <c r="L19" s="105"/>
      <c r="M19" s="163">
        <v>10</v>
      </c>
      <c r="N19" s="167">
        <v>0</v>
      </c>
      <c r="O19" s="162">
        <f t="shared" si="11"/>
        <v>0.98332480376163822</v>
      </c>
      <c r="P19" s="167">
        <v>0</v>
      </c>
      <c r="Q19" s="167">
        <v>0</v>
      </c>
      <c r="S19" s="262"/>
      <c r="T19" s="263"/>
      <c r="U19" s="263"/>
      <c r="V19" s="263"/>
      <c r="W19" s="263"/>
      <c r="X19" s="263"/>
      <c r="Y19" s="264"/>
      <c r="AA19" s="262"/>
      <c r="AB19" s="263"/>
      <c r="AC19" s="263"/>
      <c r="AD19" s="263"/>
      <c r="AE19" s="263"/>
      <c r="AF19" s="264"/>
    </row>
    <row r="20" spans="2:32" ht="15.6" thickTop="1" thickBot="1" x14ac:dyDescent="0.35">
      <c r="S20" s="262"/>
      <c r="T20" s="263"/>
      <c r="U20" s="263"/>
      <c r="V20" s="263"/>
      <c r="W20" s="263"/>
      <c r="X20" s="263"/>
      <c r="Y20" s="264"/>
      <c r="AA20" s="262"/>
      <c r="AB20" s="263"/>
      <c r="AC20" s="263"/>
      <c r="AD20" s="263"/>
      <c r="AE20" s="263"/>
      <c r="AF20" s="264"/>
    </row>
    <row r="21" spans="2:32" x14ac:dyDescent="0.3">
      <c r="F21" s="269" t="s">
        <v>98</v>
      </c>
      <c r="G21" s="147" t="s">
        <v>89</v>
      </c>
      <c r="H21" s="148">
        <f>SUM(P9:P18)</f>
        <v>7.6125361513230656</v>
      </c>
      <c r="S21" s="262"/>
      <c r="T21" s="263"/>
      <c r="U21" s="263"/>
      <c r="V21" s="263"/>
      <c r="W21" s="263"/>
      <c r="X21" s="263"/>
      <c r="Y21" s="264"/>
      <c r="AA21" s="262"/>
      <c r="AB21" s="263"/>
      <c r="AC21" s="263"/>
      <c r="AD21" s="263"/>
      <c r="AE21" s="263"/>
      <c r="AF21" s="264"/>
    </row>
    <row r="22" spans="2:32" x14ac:dyDescent="0.3">
      <c r="F22" s="270"/>
      <c r="G22" s="149" t="s">
        <v>90</v>
      </c>
      <c r="H22" s="150">
        <f>Q9</f>
        <v>1.1911615555327817E-2</v>
      </c>
      <c r="S22" s="262"/>
      <c r="T22" s="263"/>
      <c r="U22" s="263"/>
      <c r="V22" s="263"/>
      <c r="W22" s="263"/>
      <c r="X22" s="263"/>
      <c r="Y22" s="264"/>
      <c r="AA22" s="262"/>
      <c r="AB22" s="263"/>
      <c r="AC22" s="263"/>
      <c r="AD22" s="263"/>
      <c r="AE22" s="263"/>
      <c r="AF22" s="264"/>
    </row>
    <row r="23" spans="2:32" x14ac:dyDescent="0.3">
      <c r="F23" s="270"/>
      <c r="G23" s="149"/>
      <c r="H23" s="151"/>
      <c r="S23" s="262"/>
      <c r="T23" s="263"/>
      <c r="U23" s="263"/>
      <c r="V23" s="263"/>
      <c r="W23" s="263"/>
      <c r="X23" s="263"/>
      <c r="Y23" s="264"/>
      <c r="AA23" s="262"/>
      <c r="AB23" s="263"/>
      <c r="AC23" s="263"/>
      <c r="AD23" s="263"/>
      <c r="AE23" s="263"/>
      <c r="AF23" s="264"/>
    </row>
    <row r="24" spans="2:32" x14ac:dyDescent="0.3">
      <c r="F24" s="270"/>
      <c r="G24" s="149" t="s">
        <v>68</v>
      </c>
      <c r="H24" s="152">
        <f>sum_assured*H22</f>
        <v>59558.077776639082</v>
      </c>
      <c r="S24" s="262"/>
      <c r="T24" s="263"/>
      <c r="U24" s="263"/>
      <c r="V24" s="263"/>
      <c r="W24" s="263"/>
      <c r="X24" s="263"/>
      <c r="Y24" s="264"/>
      <c r="AA24" s="262"/>
      <c r="AB24" s="263"/>
      <c r="AC24" s="263"/>
      <c r="AD24" s="263"/>
      <c r="AE24" s="263"/>
      <c r="AF24" s="264"/>
    </row>
    <row r="25" spans="2:32" ht="15" thickBot="1" x14ac:dyDescent="0.35">
      <c r="F25" s="270"/>
      <c r="G25" s="149" t="s">
        <v>69</v>
      </c>
      <c r="H25" s="152">
        <f>in_exp+re_exp*(H21-1)</f>
        <v>2330.6268075661533</v>
      </c>
      <c r="S25" s="262"/>
      <c r="T25" s="263"/>
      <c r="U25" s="263"/>
      <c r="V25" s="263"/>
      <c r="W25" s="263"/>
      <c r="X25" s="263"/>
      <c r="Y25" s="264"/>
      <c r="AA25" s="265"/>
      <c r="AB25" s="266"/>
      <c r="AC25" s="266"/>
      <c r="AD25" s="266"/>
      <c r="AE25" s="266"/>
      <c r="AF25" s="267"/>
    </row>
    <row r="26" spans="2:32" x14ac:dyDescent="0.3">
      <c r="F26" s="270"/>
      <c r="G26" s="149" t="s">
        <v>70</v>
      </c>
      <c r="H26" s="152">
        <f>in_com+re_com*(H21-1)</f>
        <v>1764.5014460529226</v>
      </c>
      <c r="S26" s="262"/>
      <c r="T26" s="263"/>
      <c r="U26" s="263"/>
      <c r="V26" s="263"/>
      <c r="W26" s="263"/>
      <c r="X26" s="263"/>
      <c r="Y26" s="264"/>
    </row>
    <row r="27" spans="2:32" x14ac:dyDescent="0.3">
      <c r="F27" s="270"/>
      <c r="G27" s="149"/>
      <c r="H27" s="152"/>
      <c r="S27" s="262"/>
      <c r="T27" s="263"/>
      <c r="U27" s="263"/>
      <c r="V27" s="263"/>
      <c r="W27" s="263"/>
      <c r="X27" s="263"/>
      <c r="Y27" s="264"/>
    </row>
    <row r="28" spans="2:32" ht="15" thickBot="1" x14ac:dyDescent="0.35">
      <c r="F28" s="271"/>
      <c r="G28" s="153" t="s">
        <v>44</v>
      </c>
      <c r="H28" s="154">
        <f>SUM(H24:H26)/H21</f>
        <v>8361.6293919596246</v>
      </c>
      <c r="S28" s="262"/>
      <c r="T28" s="263"/>
      <c r="U28" s="263"/>
      <c r="V28" s="263"/>
      <c r="W28" s="263"/>
      <c r="X28" s="263"/>
      <c r="Y28" s="264"/>
    </row>
    <row r="29" spans="2:32" x14ac:dyDescent="0.3">
      <c r="S29" s="262"/>
      <c r="T29" s="263"/>
      <c r="U29" s="263"/>
      <c r="V29" s="263"/>
      <c r="W29" s="263"/>
      <c r="X29" s="263"/>
      <c r="Y29" s="264"/>
    </row>
    <row r="30" spans="2:32" x14ac:dyDescent="0.3">
      <c r="S30" s="262"/>
      <c r="T30" s="263"/>
      <c r="U30" s="263"/>
      <c r="V30" s="263"/>
      <c r="W30" s="263"/>
      <c r="X30" s="263"/>
      <c r="Y30" s="264"/>
    </row>
    <row r="31" spans="2:32" ht="15" thickBot="1" x14ac:dyDescent="0.35">
      <c r="S31" s="265"/>
      <c r="T31" s="266"/>
      <c r="U31" s="266"/>
      <c r="V31" s="266"/>
      <c r="W31" s="266"/>
      <c r="X31" s="266"/>
      <c r="Y31" s="267"/>
    </row>
  </sheetData>
  <mergeCells count="9">
    <mergeCell ref="W2:AF3"/>
    <mergeCell ref="B7:C7"/>
    <mergeCell ref="F7:K7"/>
    <mergeCell ref="S16:Y31"/>
    <mergeCell ref="AA4:AD4"/>
    <mergeCell ref="F21:F28"/>
    <mergeCell ref="AA12:AF25"/>
    <mergeCell ref="S5:S14"/>
    <mergeCell ref="Z5:Z10"/>
  </mergeCells>
  <dataValidations count="2">
    <dataValidation type="list" allowBlank="1" showInputMessage="1" showErrorMessage="1" sqref="C3">
      <formula1>"1,1.1,1.15,1.2,1.25,0.9,0.85,0.8,0.75"</formula1>
    </dataValidation>
    <dataValidation type="list" allowBlank="1" showInputMessage="1" showErrorMessage="1" sqref="C4">
      <formula1>"5.5%,6%,6.5%,7%,7.5%"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Calculations!$F$3:$F$7</xm:f>
          </x14:formula1>
          <xm:sqref>C2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27</vt:i4>
      </vt:variant>
    </vt:vector>
  </HeadingPairs>
  <TitlesOfParts>
    <vt:vector size="32" baseType="lpstr">
      <vt:lpstr>IALM Comparison</vt:lpstr>
      <vt:lpstr>Calculations</vt:lpstr>
      <vt:lpstr>Pricing Term Assurance</vt:lpstr>
      <vt:lpstr>Premium Comparison</vt:lpstr>
      <vt:lpstr>Stress Test on IALM 2012-14</vt:lpstr>
      <vt:lpstr>a_ann_06</vt:lpstr>
      <vt:lpstr>a_ann_12</vt:lpstr>
      <vt:lpstr>a_asure_06</vt:lpstr>
      <vt:lpstr>a_asure_12</vt:lpstr>
      <vt:lpstr>b_ann_06</vt:lpstr>
      <vt:lpstr>b_ann_12</vt:lpstr>
      <vt:lpstr>b_asure_06</vt:lpstr>
      <vt:lpstr>b_asure_12</vt:lpstr>
      <vt:lpstr>c_ann_06</vt:lpstr>
      <vt:lpstr>c_ann_12</vt:lpstr>
      <vt:lpstr>c_asure_06</vt:lpstr>
      <vt:lpstr>c_asure_12</vt:lpstr>
      <vt:lpstr>d_ann_06</vt:lpstr>
      <vt:lpstr>d_ann_12</vt:lpstr>
      <vt:lpstr>d_asure_06</vt:lpstr>
      <vt:lpstr>d_asure_12</vt:lpstr>
      <vt:lpstr>e_ann_06</vt:lpstr>
      <vt:lpstr>e_ann_12</vt:lpstr>
      <vt:lpstr>e_asure_06</vt:lpstr>
      <vt:lpstr>e_asure_12</vt:lpstr>
      <vt:lpstr>i</vt:lpstr>
      <vt:lpstr>in_com</vt:lpstr>
      <vt:lpstr>in_exp</vt:lpstr>
      <vt:lpstr>re_com</vt:lpstr>
      <vt:lpstr>re_exp</vt:lpstr>
      <vt:lpstr>sum_assured</vt:lpstr>
      <vt:lpstr>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Harshil</cp:lastModifiedBy>
  <dcterms:created xsi:type="dcterms:W3CDTF">2026-06-19T20:42:44Z</dcterms:created>
  <dcterms:modified xsi:type="dcterms:W3CDTF">2026-06-23T16:29:40Z</dcterms:modified>
</cp:coreProperties>
</file>